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IFMS\2020_1\LP2\IFMS_LP2_2020_1\aula02\src\data\"/>
    </mc:Choice>
  </mc:AlternateContent>
  <xr:revisionPtr revIDLastSave="0" documentId="13_ncr:1_{F7FCBF66-4890-43A7-90D5-5A667003BB1D}" xr6:coauthVersionLast="45" xr6:coauthVersionMax="45" xr10:uidLastSave="{00000000-0000-0000-0000-000000000000}"/>
  <bookViews>
    <workbookView xWindow="-120" yWindow="-120" windowWidth="20730" windowHeight="11160" xr2:uid="{775B3BA9-7E34-4ABB-BF5A-C88EFA65E3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4" i="1" l="1"/>
  <c r="Q15" i="1"/>
  <c r="Q16" i="1"/>
  <c r="Q17" i="1"/>
  <c r="T17" i="1" s="1"/>
  <c r="Q20" i="1"/>
  <c r="Q21" i="1"/>
  <c r="Q22" i="1"/>
  <c r="Q23" i="1"/>
  <c r="T23" i="1" s="1"/>
  <c r="Q26" i="1"/>
  <c r="Q27" i="1"/>
  <c r="Q28" i="1"/>
  <c r="Q29" i="1"/>
  <c r="T29" i="1" s="1"/>
  <c r="Q32" i="1"/>
  <c r="Q33" i="1"/>
  <c r="Q34" i="1"/>
  <c r="Q35" i="1"/>
  <c r="T35" i="1" s="1"/>
  <c r="Q38" i="1"/>
  <c r="Q39" i="1"/>
  <c r="Q40" i="1"/>
  <c r="Q41" i="1"/>
  <c r="T41" i="1" s="1"/>
  <c r="Q44" i="1"/>
  <c r="Q45" i="1"/>
  <c r="Q46" i="1"/>
  <c r="Q47" i="1"/>
  <c r="T47" i="1" s="1"/>
  <c r="Q50" i="1"/>
  <c r="Q51" i="1"/>
  <c r="Q52" i="1"/>
  <c r="Q53" i="1"/>
  <c r="T53" i="1" s="1"/>
  <c r="Q56" i="1"/>
  <c r="Q57" i="1"/>
  <c r="Q58" i="1"/>
  <c r="Q59" i="1"/>
  <c r="T59" i="1" s="1"/>
  <c r="Q62" i="1"/>
  <c r="Q63" i="1"/>
  <c r="Q64" i="1"/>
  <c r="Q65" i="1"/>
  <c r="T65" i="1" s="1"/>
  <c r="Q68" i="1"/>
  <c r="Q69" i="1"/>
  <c r="Q70" i="1"/>
  <c r="Q71" i="1"/>
  <c r="T71" i="1" s="1"/>
  <c r="Q74" i="1"/>
  <c r="Q75" i="1"/>
  <c r="Q76" i="1"/>
  <c r="Q77" i="1"/>
  <c r="T77" i="1" s="1"/>
  <c r="Q80" i="1"/>
  <c r="Q81" i="1"/>
  <c r="Q82" i="1"/>
  <c r="Q83" i="1"/>
  <c r="T83" i="1" s="1"/>
  <c r="Q86" i="1"/>
  <c r="Q87" i="1"/>
  <c r="Q88" i="1"/>
  <c r="Q89" i="1"/>
  <c r="T89" i="1" s="1"/>
  <c r="Q92" i="1"/>
  <c r="Q93" i="1"/>
  <c r="Q94" i="1"/>
  <c r="Q95" i="1"/>
  <c r="T95" i="1" s="1"/>
  <c r="Q98" i="1"/>
  <c r="Q99" i="1"/>
  <c r="Q100" i="1"/>
  <c r="Q101" i="1"/>
  <c r="Q104" i="1"/>
  <c r="Q105" i="1"/>
  <c r="Q106" i="1"/>
  <c r="Q107" i="1"/>
  <c r="Q110" i="1"/>
  <c r="Q111" i="1"/>
  <c r="Q112" i="1"/>
  <c r="Q113" i="1"/>
  <c r="Q8" i="1"/>
  <c r="Q9" i="1"/>
  <c r="Q10" i="1"/>
  <c r="Q11" i="1"/>
  <c r="T11" i="1" s="1"/>
  <c r="T8" i="1"/>
  <c r="T9" i="1"/>
  <c r="T10" i="1"/>
  <c r="T14" i="1"/>
  <c r="T15" i="1"/>
  <c r="T16" i="1"/>
  <c r="T20" i="1"/>
  <c r="T21" i="1"/>
  <c r="T22" i="1"/>
  <c r="T26" i="1"/>
  <c r="T27" i="1"/>
  <c r="T28" i="1"/>
  <c r="T32" i="1"/>
  <c r="T33" i="1"/>
  <c r="T34" i="1"/>
  <c r="T38" i="1"/>
  <c r="T39" i="1"/>
  <c r="T40" i="1"/>
  <c r="T44" i="1"/>
  <c r="T45" i="1"/>
  <c r="T46" i="1"/>
  <c r="T50" i="1"/>
  <c r="T51" i="1"/>
  <c r="T52" i="1"/>
  <c r="T56" i="1"/>
  <c r="T57" i="1"/>
  <c r="T58" i="1"/>
  <c r="T62" i="1"/>
  <c r="T63" i="1"/>
  <c r="T64" i="1"/>
  <c r="T68" i="1"/>
  <c r="T69" i="1"/>
  <c r="T70" i="1"/>
  <c r="T74" i="1"/>
  <c r="T75" i="1"/>
  <c r="T76" i="1"/>
  <c r="T80" i="1"/>
  <c r="T81" i="1"/>
  <c r="T82" i="1"/>
  <c r="T86" i="1"/>
  <c r="T87" i="1"/>
  <c r="T88" i="1"/>
  <c r="T92" i="1"/>
  <c r="T93" i="1"/>
  <c r="T94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J96" i="1"/>
  <c r="J95" i="1"/>
  <c r="J94" i="1"/>
  <c r="J93" i="1"/>
  <c r="J91" i="1"/>
  <c r="J90" i="1"/>
  <c r="J89" i="1"/>
  <c r="J88" i="1"/>
  <c r="J86" i="1"/>
  <c r="J85" i="1"/>
  <c r="J84" i="1"/>
  <c r="J83" i="1"/>
  <c r="J81" i="1"/>
  <c r="J80" i="1"/>
  <c r="J79" i="1"/>
  <c r="J78" i="1"/>
  <c r="J76" i="1"/>
  <c r="J75" i="1"/>
  <c r="J74" i="1"/>
  <c r="J73" i="1"/>
  <c r="J71" i="1"/>
  <c r="J70" i="1"/>
  <c r="J69" i="1"/>
  <c r="J68" i="1"/>
  <c r="J66" i="1"/>
  <c r="J65" i="1"/>
  <c r="J64" i="1"/>
  <c r="J63" i="1"/>
  <c r="J61" i="1"/>
  <c r="J60" i="1"/>
  <c r="J59" i="1"/>
  <c r="J58" i="1"/>
  <c r="J56" i="1"/>
  <c r="J55" i="1"/>
  <c r="J54" i="1"/>
  <c r="J53" i="1"/>
  <c r="J51" i="1"/>
  <c r="J50" i="1"/>
  <c r="J49" i="1"/>
  <c r="J48" i="1"/>
  <c r="J46" i="1"/>
  <c r="J45" i="1"/>
  <c r="J44" i="1"/>
  <c r="J43" i="1"/>
  <c r="J41" i="1"/>
  <c r="J40" i="1"/>
  <c r="J39" i="1"/>
  <c r="J38" i="1"/>
  <c r="J36" i="1"/>
  <c r="J35" i="1"/>
  <c r="J34" i="1"/>
  <c r="J33" i="1"/>
  <c r="J31" i="1"/>
  <c r="J30" i="1"/>
  <c r="J29" i="1"/>
  <c r="J28" i="1"/>
  <c r="H9" i="1"/>
  <c r="H10" i="1"/>
  <c r="H11" i="1"/>
  <c r="H8" i="1"/>
  <c r="M5" i="1"/>
  <c r="M4" i="1"/>
  <c r="M3" i="1"/>
  <c r="M2" i="1"/>
  <c r="Q2" i="1" s="1"/>
  <c r="T2" i="1" s="1"/>
  <c r="T113" i="1"/>
  <c r="T112" i="1"/>
  <c r="T111" i="1"/>
  <c r="T110" i="1"/>
  <c r="T107" i="1"/>
  <c r="T106" i="1"/>
  <c r="T105" i="1"/>
  <c r="T104" i="1"/>
  <c r="T101" i="1"/>
  <c r="T100" i="1"/>
  <c r="T99" i="1"/>
  <c r="T98" i="1"/>
  <c r="Q5" i="1"/>
  <c r="T5" i="1" s="1"/>
  <c r="Q3" i="1"/>
  <c r="T3" i="1" s="1"/>
  <c r="Q4" i="1"/>
  <c r="T4" i="1" s="1"/>
</calcChain>
</file>

<file path=xl/sharedStrings.xml><?xml version="1.0" encoding="utf-8"?>
<sst xmlns="http://schemas.openxmlformats.org/spreadsheetml/2006/main" count="693" uniqueCount="149">
  <si>
    <t> Ano</t>
  </si>
  <si>
    <t> Campeão</t>
  </si>
  <si>
    <t> Vice</t>
  </si>
  <si>
    <t> Final</t>
  </si>
  <si>
    <t> Sede</t>
  </si>
  <si>
    <t>França</t>
  </si>
  <si>
    <t>Croácia</t>
  </si>
  <si>
    <t>4 x 2</t>
  </si>
  <si>
    <t>Russia</t>
  </si>
  <si>
    <t>Alemanha</t>
  </si>
  <si>
    <t>Argentina</t>
  </si>
  <si>
    <t>1x0</t>
  </si>
  <si>
    <t>Brasil</t>
  </si>
  <si>
    <t>Espanha</t>
  </si>
  <si>
    <t>Holanda</t>
  </si>
  <si>
    <t>África do Sul</t>
  </si>
  <si>
    <t>Itália</t>
  </si>
  <si>
    <t>1x1 (5x3 pen)</t>
  </si>
  <si>
    <t>2x0</t>
  </si>
  <si>
    <t>Coreia do Sul e Japão</t>
  </si>
  <si>
    <t>3x0</t>
  </si>
  <si>
    <t>Italia</t>
  </si>
  <si>
    <t>0x0 (3x2 pen)</t>
  </si>
  <si>
    <t>Estados Unidos</t>
  </si>
  <si>
    <t>Alemanha Ocidental</t>
  </si>
  <si>
    <t>3x2</t>
  </si>
  <si>
    <t>Mexico</t>
  </si>
  <si>
    <t>3x1</t>
  </si>
  <si>
    <t>2x1</t>
  </si>
  <si>
    <t>Alemanha Oc.</t>
  </si>
  <si>
    <t>4x1</t>
  </si>
  <si>
    <t>Inglaterra</t>
  </si>
  <si>
    <t>4x2</t>
  </si>
  <si>
    <t>Tchecoslovaquia</t>
  </si>
  <si>
    <t>Chile</t>
  </si>
  <si>
    <t>Suecia</t>
  </si>
  <si>
    <t>5x2</t>
  </si>
  <si>
    <t>Suécia</t>
  </si>
  <si>
    <t>Hungria</t>
  </si>
  <si>
    <t>Suiça</t>
  </si>
  <si>
    <t>Uruguai</t>
  </si>
  <si>
    <t>Tecnico</t>
  </si>
  <si>
    <t>Joachim Löw</t>
  </si>
  <si>
    <t>Vicente del Bosque</t>
  </si>
  <si>
    <t>Marcello Lippi</t>
  </si>
  <si>
    <t>Felipão</t>
  </si>
  <si>
    <t>Aimé Jacquet</t>
  </si>
  <si>
    <t>Carlos Alberto Parreira</t>
  </si>
  <si>
    <t>Beckenbauer</t>
  </si>
  <si>
    <t>Carlos Bilardo</t>
  </si>
  <si>
    <t>Enzo Bearzot</t>
  </si>
  <si>
    <t>César Menotti</t>
  </si>
  <si>
    <t>Helmut Schön</t>
  </si>
  <si>
    <t>Zagallo</t>
  </si>
  <si>
    <t>Alf Ramsey</t>
  </si>
  <si>
    <t>Aymoré Moreira</t>
  </si>
  <si>
    <t>Vicente Feola</t>
  </si>
  <si>
    <t>Sepp Herberger</t>
  </si>
  <si>
    <t>Juan López Fontana</t>
  </si>
  <si>
    <t>Vittorio Pozzo</t>
  </si>
  <si>
    <t>Alberto Suppici</t>
  </si>
  <si>
    <t>Didier Deschamps</t>
  </si>
  <si>
    <t>{</t>
  </si>
  <si>
    <t xml:space="preserve">"pais_campeao": </t>
  </si>
  <si>
    <t xml:space="preserve">"ano": </t>
  </si>
  <si>
    <t xml:space="preserve">"tecnico": </t>
  </si>
  <si>
    <t>"pais_derrotado":</t>
  </si>
  <si>
    <t>"</t>
  </si>
  <si>
    <t>},</t>
  </si>
  <si>
    <t>B2</t>
  </si>
  <si>
    <t>A2</t>
  </si>
  <si>
    <t>F2</t>
  </si>
  <si>
    <t>C2</t>
  </si>
  <si>
    <t>B</t>
  </si>
  <si>
    <t>A</t>
  </si>
  <si>
    <t>F</t>
  </si>
  <si>
    <t>C</t>
  </si>
  <si>
    <t>=B2</t>
  </si>
  <si>
    <t>=A2</t>
  </si>
  <si>
    <t>=F2</t>
  </si>
  <si>
    <t>=C2</t>
  </si>
  <si>
    <t>=B3</t>
  </si>
  <si>
    <t>=A3</t>
  </si>
  <si>
    <t>=F3</t>
  </si>
  <si>
    <t>=C3</t>
  </si>
  <si>
    <t>=B4</t>
  </si>
  <si>
    <t>=A4</t>
  </si>
  <si>
    <t>=F4</t>
  </si>
  <si>
    <t>=C4</t>
  </si>
  <si>
    <t>=B5</t>
  </si>
  <si>
    <t>=A5</t>
  </si>
  <si>
    <t>=F5</t>
  </si>
  <si>
    <t>=C5</t>
  </si>
  <si>
    <t>=B6</t>
  </si>
  <si>
    <t>=A6</t>
  </si>
  <si>
    <t>=F6</t>
  </si>
  <si>
    <t>=C6</t>
  </si>
  <si>
    <t>=B7</t>
  </si>
  <si>
    <t>=A7</t>
  </si>
  <si>
    <t>=F7</t>
  </si>
  <si>
    <t>=C7</t>
  </si>
  <si>
    <t>=B8</t>
  </si>
  <si>
    <t>=A8</t>
  </si>
  <si>
    <t>=F8</t>
  </si>
  <si>
    <t>=C8</t>
  </si>
  <si>
    <t>=B9</t>
  </si>
  <si>
    <t>=A9</t>
  </si>
  <si>
    <t>=F9</t>
  </si>
  <si>
    <t>=C9</t>
  </si>
  <si>
    <t>=B10</t>
  </si>
  <si>
    <t>=A10</t>
  </si>
  <si>
    <t>=F10</t>
  </si>
  <si>
    <t>=C10</t>
  </si>
  <si>
    <t>=B11</t>
  </si>
  <si>
    <t>=A11</t>
  </si>
  <si>
    <t>=F11</t>
  </si>
  <si>
    <t>=C11</t>
  </si>
  <si>
    <t>=B12</t>
  </si>
  <si>
    <t>=A12</t>
  </si>
  <si>
    <t>=F12</t>
  </si>
  <si>
    <t>=C12</t>
  </si>
  <si>
    <t>=B13</t>
  </si>
  <si>
    <t>=A13</t>
  </si>
  <si>
    <t>=F13</t>
  </si>
  <si>
    <t>=C13</t>
  </si>
  <si>
    <t>=B14</t>
  </si>
  <si>
    <t>=A14</t>
  </si>
  <si>
    <t>=F14</t>
  </si>
  <si>
    <t>=C14</t>
  </si>
  <si>
    <t>=B15</t>
  </si>
  <si>
    <t>=A15</t>
  </si>
  <si>
    <t>=F15</t>
  </si>
  <si>
    <t>=C15</t>
  </si>
  <si>
    <t>=B16</t>
  </si>
  <si>
    <t>=A16</t>
  </si>
  <si>
    <t>=F16</t>
  </si>
  <si>
    <t>=C16</t>
  </si>
  <si>
    <t>=B17</t>
  </si>
  <si>
    <t>=A17</t>
  </si>
  <si>
    <t>=F17</t>
  </si>
  <si>
    <t>=C17</t>
  </si>
  <si>
    <t>=B18</t>
  </si>
  <si>
    <t>=A18</t>
  </si>
  <si>
    <t>=F18</t>
  </si>
  <si>
    <t>=C18</t>
  </si>
  <si>
    <t>=B19</t>
  </si>
  <si>
    <t>=A19</t>
  </si>
  <si>
    <t>=F19</t>
  </si>
  <si>
    <t>=C19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</si>
</sst>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12A7B-F2F3-4653-9BB9-36B7173966B7}" name="Tabela1" displayName="Tabela1" ref="A1:F22" totalsRowShown="0">
  <autoFilter ref="A1:F22" xr:uid="{EB6C5286-8316-4049-AB1F-6DE63262229D}"/>
  <tableColumns count="6">
    <tableColumn id="1" xr3:uid="{B3E63D5E-9C37-416D-B7A6-34031FF4B510}" name=" Ano"/>
    <tableColumn id="2" xr3:uid="{734EC233-4187-4AE6-BB6A-AE0C5BAC9F0B}" name=" Campeão"/>
    <tableColumn id="3" xr3:uid="{3E350087-0C58-4ECD-AA82-75A836DD2599}" name=" Vice"/>
    <tableColumn id="4" xr3:uid="{474F845E-9962-4C5A-879E-F0D0805359F3}" name=" Final"/>
    <tableColumn id="5" xr3:uid="{3E82E28E-6E83-4CA9-9841-7F8ADA2282E1}" name=" Sede"/>
    <tableColumn id="6" xr3:uid="{DE705CC2-2910-432E-9E0D-AC051ECB7D53}" name="Tecni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099F-81E3-4B06-8CC0-AB9FA5524E14}">
  <dimension ref="A1:T114"/>
  <sheetViews>
    <sheetView tabSelected="1" topLeftCell="G1" workbookViewId="0">
      <selection activeCell="S114" sqref="S1:U114"/>
    </sheetView>
  </sheetViews>
  <sheetFormatPr defaultRowHeight="15" x14ac:dyDescent="0.25"/>
  <cols>
    <col min="1" max="1" width="7.28515625" bestFit="1" customWidth="1"/>
    <col min="2" max="3" width="19.28515625" bestFit="1" customWidth="1"/>
    <col min="4" max="4" width="12.7109375" bestFit="1" customWidth="1"/>
    <col min="5" max="5" width="19.85546875" bestFit="1" customWidth="1"/>
    <col min="6" max="6" width="21.42578125" bestFit="1" customWidth="1"/>
    <col min="7" max="8" width="21.42578125" customWidth="1"/>
    <col min="12" max="12" width="31.85546875" bestFit="1" customWidth="1"/>
    <col min="19" max="19" width="16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K1" t="s">
        <v>62</v>
      </c>
      <c r="S1" t="s">
        <v>62</v>
      </c>
    </row>
    <row r="2" spans="1:20" x14ac:dyDescent="0.25">
      <c r="A2">
        <v>2018</v>
      </c>
      <c r="B2" t="s">
        <v>5</v>
      </c>
      <c r="C2" t="s">
        <v>6</v>
      </c>
      <c r="D2" t="s">
        <v>7</v>
      </c>
      <c r="E2" t="s">
        <v>8</v>
      </c>
      <c r="F2" t="s">
        <v>61</v>
      </c>
      <c r="I2" t="s">
        <v>69</v>
      </c>
      <c r="K2" s="1" t="s">
        <v>63</v>
      </c>
      <c r="M2" t="str">
        <f>$B2</f>
        <v>França</v>
      </c>
      <c r="O2" t="s">
        <v>67</v>
      </c>
      <c r="P2" t="s">
        <v>67</v>
      </c>
      <c r="Q2" t="str">
        <f>_xlfn.CONCAT(O2,M2,P2,",")</f>
        <v>"França",</v>
      </c>
      <c r="S2" s="1" t="s">
        <v>63</v>
      </c>
      <c r="T2" t="str">
        <f>Q2</f>
        <v>"França",</v>
      </c>
    </row>
    <row r="3" spans="1:20" x14ac:dyDescent="0.25">
      <c r="A3">
        <v>2014</v>
      </c>
      <c r="B3" t="s">
        <v>9</v>
      </c>
      <c r="C3" t="s">
        <v>10</v>
      </c>
      <c r="D3" t="s">
        <v>11</v>
      </c>
      <c r="E3" t="s">
        <v>12</v>
      </c>
      <c r="F3" t="s">
        <v>42</v>
      </c>
      <c r="I3" t="s">
        <v>70</v>
      </c>
      <c r="K3" t="s">
        <v>64</v>
      </c>
      <c r="M3">
        <f>$A2</f>
        <v>2018</v>
      </c>
      <c r="O3" t="s">
        <v>67</v>
      </c>
      <c r="P3" t="s">
        <v>67</v>
      </c>
      <c r="Q3" t="str">
        <f t="shared" ref="Q3:Q4" si="0">_xlfn.CONCAT(O3,M3,P3,",")</f>
        <v>"2018",</v>
      </c>
      <c r="S3" t="s">
        <v>64</v>
      </c>
      <c r="T3" t="str">
        <f t="shared" ref="T3:T5" si="1">Q3</f>
        <v>"2018",</v>
      </c>
    </row>
    <row r="4" spans="1:20" x14ac:dyDescent="0.25">
      <c r="A4">
        <v>2010</v>
      </c>
      <c r="B4" t="s">
        <v>13</v>
      </c>
      <c r="C4" t="s">
        <v>14</v>
      </c>
      <c r="D4" t="s">
        <v>11</v>
      </c>
      <c r="E4" t="s">
        <v>15</v>
      </c>
      <c r="F4" t="s">
        <v>43</v>
      </c>
      <c r="I4" t="s">
        <v>71</v>
      </c>
      <c r="K4" t="s">
        <v>65</v>
      </c>
      <c r="M4" t="str">
        <f>$F2</f>
        <v>Didier Deschamps</v>
      </c>
      <c r="O4" t="s">
        <v>67</v>
      </c>
      <c r="P4" t="s">
        <v>67</v>
      </c>
      <c r="Q4" t="str">
        <f t="shared" si="0"/>
        <v>"Didier Deschamps",</v>
      </c>
      <c r="S4" t="s">
        <v>65</v>
      </c>
      <c r="T4" t="str">
        <f t="shared" si="1"/>
        <v>"Didier Deschamps",</v>
      </c>
    </row>
    <row r="5" spans="1:20" x14ac:dyDescent="0.25">
      <c r="A5">
        <v>2006</v>
      </c>
      <c r="B5" t="s">
        <v>16</v>
      </c>
      <c r="C5" t="s">
        <v>5</v>
      </c>
      <c r="D5" t="s">
        <v>17</v>
      </c>
      <c r="E5" t="s">
        <v>9</v>
      </c>
      <c r="F5" t="s">
        <v>44</v>
      </c>
      <c r="I5" t="s">
        <v>72</v>
      </c>
      <c r="K5" t="s">
        <v>66</v>
      </c>
      <c r="M5" t="str">
        <f>$C2</f>
        <v>Croácia</v>
      </c>
      <c r="O5" t="s">
        <v>67</v>
      </c>
      <c r="P5" t="s">
        <v>67</v>
      </c>
      <c r="Q5" t="str">
        <f>_xlfn.CONCAT(O5,M5,P5)</f>
        <v>"Croácia"</v>
      </c>
      <c r="S5" t="s">
        <v>66</v>
      </c>
      <c r="T5" t="str">
        <f t="shared" si="1"/>
        <v>"Croácia"</v>
      </c>
    </row>
    <row r="6" spans="1:20" x14ac:dyDescent="0.25">
      <c r="A6">
        <v>2002</v>
      </c>
      <c r="B6" t="s">
        <v>12</v>
      </c>
      <c r="C6" t="s">
        <v>9</v>
      </c>
      <c r="D6" t="s">
        <v>18</v>
      </c>
      <c r="E6" t="s">
        <v>19</v>
      </c>
      <c r="F6" t="s">
        <v>45</v>
      </c>
      <c r="K6" t="s">
        <v>68</v>
      </c>
      <c r="S6" t="s">
        <v>68</v>
      </c>
    </row>
    <row r="7" spans="1:20" x14ac:dyDescent="0.25">
      <c r="A7">
        <v>1998</v>
      </c>
      <c r="B7" t="s">
        <v>5</v>
      </c>
      <c r="C7" t="s">
        <v>12</v>
      </c>
      <c r="D7" t="s">
        <v>20</v>
      </c>
      <c r="E7" t="s">
        <v>5</v>
      </c>
      <c r="F7" t="s">
        <v>46</v>
      </c>
      <c r="K7" t="s">
        <v>62</v>
      </c>
      <c r="S7" t="s">
        <v>62</v>
      </c>
    </row>
    <row r="8" spans="1:20" x14ac:dyDescent="0.25">
      <c r="A8">
        <v>1994</v>
      </c>
      <c r="B8" t="s">
        <v>12</v>
      </c>
      <c r="C8" t="s">
        <v>21</v>
      </c>
      <c r="D8" t="s">
        <v>22</v>
      </c>
      <c r="E8" t="s">
        <v>23</v>
      </c>
      <c r="F8" t="s">
        <v>47</v>
      </c>
      <c r="G8" t="s">
        <v>77</v>
      </c>
      <c r="H8" t="str">
        <f>_xlfn.CONCAT(I8,J8)</f>
        <v>B2</v>
      </c>
      <c r="I8" t="s">
        <v>73</v>
      </c>
      <c r="J8">
        <v>2</v>
      </c>
      <c r="K8" s="1" t="s">
        <v>63</v>
      </c>
      <c r="M8" t="s">
        <v>5</v>
      </c>
      <c r="O8" t="s">
        <v>67</v>
      </c>
      <c r="P8" t="s">
        <v>67</v>
      </c>
      <c r="Q8" t="str">
        <f>_xlfn.CONCAT(O8,M8,P8,",")</f>
        <v>"França",</v>
      </c>
      <c r="S8" s="1" t="s">
        <v>63</v>
      </c>
      <c r="T8" t="str">
        <f>Q8</f>
        <v>"França",</v>
      </c>
    </row>
    <row r="9" spans="1:20" x14ac:dyDescent="0.25">
      <c r="A9">
        <v>1990</v>
      </c>
      <c r="B9" t="s">
        <v>24</v>
      </c>
      <c r="C9" t="s">
        <v>10</v>
      </c>
      <c r="D9" t="s">
        <v>11</v>
      </c>
      <c r="E9" t="s">
        <v>21</v>
      </c>
      <c r="F9" t="s">
        <v>48</v>
      </c>
      <c r="G9" t="s">
        <v>78</v>
      </c>
      <c r="H9" t="str">
        <f t="shared" ref="H9:H72" si="2">_xlfn.CONCAT(I9,J9)</f>
        <v>A2</v>
      </c>
      <c r="I9" t="s">
        <v>74</v>
      </c>
      <c r="J9">
        <v>2</v>
      </c>
      <c r="K9" t="s">
        <v>64</v>
      </c>
      <c r="M9">
        <v>2018</v>
      </c>
      <c r="O9" t="s">
        <v>67</v>
      </c>
      <c r="P9" t="s">
        <v>67</v>
      </c>
      <c r="Q9" t="str">
        <f t="shared" ref="Q9:Q10" si="3">_xlfn.CONCAT(O9,M9,P9,",")</f>
        <v>"2018",</v>
      </c>
      <c r="S9" t="s">
        <v>64</v>
      </c>
      <c r="T9" t="str">
        <f t="shared" ref="T9:T11" si="4">Q9</f>
        <v>"2018",</v>
      </c>
    </row>
    <row r="10" spans="1:20" x14ac:dyDescent="0.25">
      <c r="A10">
        <v>1986</v>
      </c>
      <c r="B10" t="s">
        <v>10</v>
      </c>
      <c r="C10" t="s">
        <v>24</v>
      </c>
      <c r="D10" t="s">
        <v>25</v>
      </c>
      <c r="E10" t="s">
        <v>26</v>
      </c>
      <c r="F10" t="s">
        <v>49</v>
      </c>
      <c r="G10" t="s">
        <v>79</v>
      </c>
      <c r="H10" t="str">
        <f t="shared" si="2"/>
        <v>F2</v>
      </c>
      <c r="I10" t="s">
        <v>75</v>
      </c>
      <c r="J10">
        <v>2</v>
      </c>
      <c r="K10" t="s">
        <v>65</v>
      </c>
      <c r="M10" t="s">
        <v>61</v>
      </c>
      <c r="O10" t="s">
        <v>67</v>
      </c>
      <c r="P10" t="s">
        <v>67</v>
      </c>
      <c r="Q10" t="str">
        <f t="shared" si="3"/>
        <v>"Didier Deschamps",</v>
      </c>
      <c r="S10" t="s">
        <v>65</v>
      </c>
      <c r="T10" t="str">
        <f t="shared" si="4"/>
        <v>"Didier Deschamps",</v>
      </c>
    </row>
    <row r="11" spans="1:20" x14ac:dyDescent="0.25">
      <c r="A11">
        <v>1982</v>
      </c>
      <c r="B11" t="s">
        <v>21</v>
      </c>
      <c r="C11" t="s">
        <v>24</v>
      </c>
      <c r="D11" t="s">
        <v>27</v>
      </c>
      <c r="E11" t="s">
        <v>13</v>
      </c>
      <c r="F11" t="s">
        <v>50</v>
      </c>
      <c r="G11" t="s">
        <v>80</v>
      </c>
      <c r="H11" t="str">
        <f t="shared" si="2"/>
        <v>C2</v>
      </c>
      <c r="I11" t="s">
        <v>76</v>
      </c>
      <c r="J11">
        <v>2</v>
      </c>
      <c r="K11" t="s">
        <v>66</v>
      </c>
      <c r="M11" t="s">
        <v>6</v>
      </c>
      <c r="O11" t="s">
        <v>67</v>
      </c>
      <c r="P11" t="s">
        <v>67</v>
      </c>
      <c r="Q11" t="str">
        <f>_xlfn.CONCAT(O11,M11,P11)</f>
        <v>"Croácia"</v>
      </c>
      <c r="S11" t="s">
        <v>66</v>
      </c>
      <c r="T11" t="str">
        <f t="shared" si="4"/>
        <v>"Croácia"</v>
      </c>
    </row>
    <row r="12" spans="1:20" x14ac:dyDescent="0.25">
      <c r="A12">
        <v>1978</v>
      </c>
      <c r="B12" t="s">
        <v>10</v>
      </c>
      <c r="C12" t="s">
        <v>14</v>
      </c>
      <c r="D12" t="s">
        <v>27</v>
      </c>
      <c r="E12" t="s">
        <v>10</v>
      </c>
      <c r="F12" t="s">
        <v>51</v>
      </c>
      <c r="H12" t="str">
        <f t="shared" si="2"/>
        <v/>
      </c>
      <c r="K12" t="s">
        <v>68</v>
      </c>
      <c r="S12" t="s">
        <v>68</v>
      </c>
    </row>
    <row r="13" spans="1:20" x14ac:dyDescent="0.25">
      <c r="A13">
        <v>1974</v>
      </c>
      <c r="B13" t="s">
        <v>24</v>
      </c>
      <c r="C13" t="s">
        <v>14</v>
      </c>
      <c r="D13" t="s">
        <v>28</v>
      </c>
      <c r="E13" t="s">
        <v>29</v>
      </c>
      <c r="F13" t="s">
        <v>52</v>
      </c>
      <c r="G13" t="s">
        <v>81</v>
      </c>
      <c r="H13" t="str">
        <f t="shared" si="2"/>
        <v>B3</v>
      </c>
      <c r="I13" t="s">
        <v>73</v>
      </c>
      <c r="J13">
        <v>3</v>
      </c>
      <c r="K13" t="s">
        <v>62</v>
      </c>
      <c r="S13" t="s">
        <v>62</v>
      </c>
    </row>
    <row r="14" spans="1:20" x14ac:dyDescent="0.25">
      <c r="A14">
        <v>1970</v>
      </c>
      <c r="B14" t="s">
        <v>12</v>
      </c>
      <c r="C14" t="s">
        <v>21</v>
      </c>
      <c r="D14" t="s">
        <v>30</v>
      </c>
      <c r="E14" t="s">
        <v>26</v>
      </c>
      <c r="F14" t="s">
        <v>53</v>
      </c>
      <c r="G14" t="s">
        <v>82</v>
      </c>
      <c r="H14" t="str">
        <f t="shared" si="2"/>
        <v>A3</v>
      </c>
      <c r="I14" t="s">
        <v>74</v>
      </c>
      <c r="J14">
        <v>3</v>
      </c>
      <c r="K14" s="1" t="s">
        <v>63</v>
      </c>
      <c r="M14" t="s">
        <v>9</v>
      </c>
      <c r="O14" t="s">
        <v>67</v>
      </c>
      <c r="P14" t="s">
        <v>67</v>
      </c>
      <c r="Q14" t="str">
        <f t="shared" ref="Q14:Q16" si="5">_xlfn.CONCAT(O14,M14,P14,",")</f>
        <v>"Alemanha",</v>
      </c>
      <c r="S14" s="1" t="s">
        <v>63</v>
      </c>
      <c r="T14" t="str">
        <f>Q14</f>
        <v>"Alemanha",</v>
      </c>
    </row>
    <row r="15" spans="1:20" x14ac:dyDescent="0.25">
      <c r="A15">
        <v>1966</v>
      </c>
      <c r="B15" t="s">
        <v>31</v>
      </c>
      <c r="C15" t="s">
        <v>24</v>
      </c>
      <c r="D15" t="s">
        <v>32</v>
      </c>
      <c r="E15" t="s">
        <v>31</v>
      </c>
      <c r="F15" t="s">
        <v>54</v>
      </c>
      <c r="G15" t="s">
        <v>83</v>
      </c>
      <c r="H15" t="str">
        <f t="shared" si="2"/>
        <v>F3</v>
      </c>
      <c r="I15" t="s">
        <v>75</v>
      </c>
      <c r="J15">
        <v>3</v>
      </c>
      <c r="K15" t="s">
        <v>64</v>
      </c>
      <c r="M15">
        <v>2014</v>
      </c>
      <c r="O15" t="s">
        <v>67</v>
      </c>
      <c r="P15" t="s">
        <v>67</v>
      </c>
      <c r="Q15" t="str">
        <f t="shared" si="5"/>
        <v>"2014",</v>
      </c>
      <c r="S15" t="s">
        <v>64</v>
      </c>
      <c r="T15" t="str">
        <f t="shared" ref="T15:T17" si="6">Q15</f>
        <v>"2014",</v>
      </c>
    </row>
    <row r="16" spans="1:20" x14ac:dyDescent="0.25">
      <c r="A16">
        <v>1962</v>
      </c>
      <c r="B16" t="s">
        <v>12</v>
      </c>
      <c r="C16" t="s">
        <v>33</v>
      </c>
      <c r="D16" t="s">
        <v>27</v>
      </c>
      <c r="E16" t="s">
        <v>34</v>
      </c>
      <c r="F16" t="s">
        <v>55</v>
      </c>
      <c r="G16" t="s">
        <v>84</v>
      </c>
      <c r="H16" t="str">
        <f t="shared" si="2"/>
        <v>C3</v>
      </c>
      <c r="I16" t="s">
        <v>76</v>
      </c>
      <c r="J16">
        <v>3</v>
      </c>
      <c r="K16" t="s">
        <v>65</v>
      </c>
      <c r="M16" t="s">
        <v>42</v>
      </c>
      <c r="O16" t="s">
        <v>67</v>
      </c>
      <c r="P16" t="s">
        <v>67</v>
      </c>
      <c r="Q16" t="str">
        <f t="shared" si="5"/>
        <v>"Joachim Löw",</v>
      </c>
      <c r="S16" t="s">
        <v>65</v>
      </c>
      <c r="T16" t="str">
        <f t="shared" si="6"/>
        <v>"Joachim Löw",</v>
      </c>
    </row>
    <row r="17" spans="1:20" x14ac:dyDescent="0.25">
      <c r="A17">
        <v>1958</v>
      </c>
      <c r="B17" t="s">
        <v>12</v>
      </c>
      <c r="C17" t="s">
        <v>35</v>
      </c>
      <c r="D17" t="s">
        <v>36</v>
      </c>
      <c r="E17" t="s">
        <v>37</v>
      </c>
      <c r="F17" t="s">
        <v>56</v>
      </c>
      <c r="H17" t="str">
        <f t="shared" si="2"/>
        <v/>
      </c>
      <c r="K17" t="s">
        <v>66</v>
      </c>
      <c r="M17" t="s">
        <v>10</v>
      </c>
      <c r="O17" t="s">
        <v>67</v>
      </c>
      <c r="P17" t="s">
        <v>67</v>
      </c>
      <c r="Q17" t="str">
        <f t="shared" ref="Q17" si="7">_xlfn.CONCAT(O17,M17,P17)</f>
        <v>"Argentina"</v>
      </c>
      <c r="S17" t="s">
        <v>66</v>
      </c>
      <c r="T17" t="str">
        <f t="shared" si="6"/>
        <v>"Argentina"</v>
      </c>
    </row>
    <row r="18" spans="1:20" x14ac:dyDescent="0.25">
      <c r="A18">
        <v>1954</v>
      </c>
      <c r="B18" t="s">
        <v>24</v>
      </c>
      <c r="C18" t="s">
        <v>38</v>
      </c>
      <c r="D18" t="s">
        <v>25</v>
      </c>
      <c r="E18" t="s">
        <v>39</v>
      </c>
      <c r="F18" t="s">
        <v>57</v>
      </c>
      <c r="G18" t="s">
        <v>85</v>
      </c>
      <c r="H18" t="str">
        <f t="shared" si="2"/>
        <v>B4</v>
      </c>
      <c r="I18" t="s">
        <v>73</v>
      </c>
      <c r="J18">
        <v>4</v>
      </c>
      <c r="K18" t="s">
        <v>68</v>
      </c>
      <c r="S18" t="s">
        <v>68</v>
      </c>
    </row>
    <row r="19" spans="1:20" x14ac:dyDescent="0.25">
      <c r="A19">
        <v>1950</v>
      </c>
      <c r="B19" t="s">
        <v>40</v>
      </c>
      <c r="C19" t="s">
        <v>12</v>
      </c>
      <c r="D19" t="s">
        <v>28</v>
      </c>
      <c r="E19" t="s">
        <v>12</v>
      </c>
      <c r="F19" t="s">
        <v>58</v>
      </c>
      <c r="G19" t="s">
        <v>86</v>
      </c>
      <c r="H19" t="str">
        <f t="shared" si="2"/>
        <v>A4</v>
      </c>
      <c r="I19" t="s">
        <v>74</v>
      </c>
      <c r="J19">
        <v>4</v>
      </c>
      <c r="K19" t="s">
        <v>62</v>
      </c>
      <c r="S19" t="s">
        <v>62</v>
      </c>
    </row>
    <row r="20" spans="1:20" x14ac:dyDescent="0.25">
      <c r="A20">
        <v>1938</v>
      </c>
      <c r="B20" t="s">
        <v>21</v>
      </c>
      <c r="C20" t="s">
        <v>38</v>
      </c>
      <c r="D20" t="s">
        <v>32</v>
      </c>
      <c r="E20" t="s">
        <v>5</v>
      </c>
      <c r="F20" t="s">
        <v>59</v>
      </c>
      <c r="G20" t="s">
        <v>87</v>
      </c>
      <c r="H20" t="str">
        <f t="shared" si="2"/>
        <v>F4</v>
      </c>
      <c r="I20" t="s">
        <v>75</v>
      </c>
      <c r="J20">
        <v>4</v>
      </c>
      <c r="K20" s="1" t="s">
        <v>63</v>
      </c>
      <c r="M20" t="s">
        <v>13</v>
      </c>
      <c r="O20" t="s">
        <v>67</v>
      </c>
      <c r="P20" t="s">
        <v>67</v>
      </c>
      <c r="Q20" t="str">
        <f t="shared" ref="Q20:Q22" si="8">_xlfn.CONCAT(O20,M20,P20,",")</f>
        <v>"Espanha",</v>
      </c>
      <c r="S20" s="1" t="s">
        <v>63</v>
      </c>
      <c r="T20" t="str">
        <f>Q20</f>
        <v>"Espanha",</v>
      </c>
    </row>
    <row r="21" spans="1:20" x14ac:dyDescent="0.25">
      <c r="A21">
        <v>1934</v>
      </c>
      <c r="B21" t="s">
        <v>21</v>
      </c>
      <c r="C21" t="s">
        <v>33</v>
      </c>
      <c r="D21" t="s">
        <v>28</v>
      </c>
      <c r="E21" t="s">
        <v>21</v>
      </c>
      <c r="F21" t="s">
        <v>59</v>
      </c>
      <c r="G21" t="s">
        <v>88</v>
      </c>
      <c r="H21" t="str">
        <f t="shared" si="2"/>
        <v>C4</v>
      </c>
      <c r="I21" t="s">
        <v>76</v>
      </c>
      <c r="J21">
        <v>4</v>
      </c>
      <c r="K21" t="s">
        <v>64</v>
      </c>
      <c r="M21">
        <v>2010</v>
      </c>
      <c r="O21" t="s">
        <v>67</v>
      </c>
      <c r="P21" t="s">
        <v>67</v>
      </c>
      <c r="Q21" t="str">
        <f t="shared" si="8"/>
        <v>"2010",</v>
      </c>
      <c r="S21" t="s">
        <v>64</v>
      </c>
      <c r="T21" t="str">
        <f t="shared" ref="T21:T23" si="9">Q21</f>
        <v>"2010",</v>
      </c>
    </row>
    <row r="22" spans="1:20" x14ac:dyDescent="0.25">
      <c r="A22">
        <v>1930</v>
      </c>
      <c r="B22" t="s">
        <v>40</v>
      </c>
      <c r="C22" t="s">
        <v>10</v>
      </c>
      <c r="D22" t="s">
        <v>32</v>
      </c>
      <c r="E22" t="s">
        <v>40</v>
      </c>
      <c r="F22" t="s">
        <v>60</v>
      </c>
      <c r="H22" t="str">
        <f t="shared" si="2"/>
        <v/>
      </c>
      <c r="K22" t="s">
        <v>65</v>
      </c>
      <c r="M22" t="s">
        <v>43</v>
      </c>
      <c r="O22" t="s">
        <v>67</v>
      </c>
      <c r="P22" t="s">
        <v>67</v>
      </c>
      <c r="Q22" t="str">
        <f t="shared" si="8"/>
        <v>"Vicente del Bosque",</v>
      </c>
      <c r="S22" t="s">
        <v>65</v>
      </c>
      <c r="T22" t="str">
        <f t="shared" si="9"/>
        <v>"Vicente del Bosque",</v>
      </c>
    </row>
    <row r="23" spans="1:20" x14ac:dyDescent="0.25">
      <c r="G23" t="s">
        <v>89</v>
      </c>
      <c r="H23" t="str">
        <f t="shared" si="2"/>
        <v>B5</v>
      </c>
      <c r="I23" t="s">
        <v>73</v>
      </c>
      <c r="J23">
        <v>5</v>
      </c>
      <c r="K23" t="s">
        <v>66</v>
      </c>
      <c r="M23" t="s">
        <v>14</v>
      </c>
      <c r="O23" t="s">
        <v>67</v>
      </c>
      <c r="P23" t="s">
        <v>67</v>
      </c>
      <c r="Q23" t="str">
        <f t="shared" ref="Q23" si="10">_xlfn.CONCAT(O23,M23,P23)</f>
        <v>"Holanda"</v>
      </c>
      <c r="S23" t="s">
        <v>66</v>
      </c>
      <c r="T23" t="str">
        <f t="shared" si="9"/>
        <v>"Holanda"</v>
      </c>
    </row>
    <row r="24" spans="1:20" x14ac:dyDescent="0.25">
      <c r="G24" t="s">
        <v>90</v>
      </c>
      <c r="H24" t="str">
        <f t="shared" si="2"/>
        <v>A5</v>
      </c>
      <c r="I24" t="s">
        <v>74</v>
      </c>
      <c r="J24">
        <v>5</v>
      </c>
      <c r="K24" t="s">
        <v>68</v>
      </c>
      <c r="S24" t="s">
        <v>68</v>
      </c>
    </row>
    <row r="25" spans="1:20" x14ac:dyDescent="0.25">
      <c r="G25" t="s">
        <v>91</v>
      </c>
      <c r="H25" t="str">
        <f t="shared" si="2"/>
        <v>F5</v>
      </c>
      <c r="I25" t="s">
        <v>75</v>
      </c>
      <c r="J25">
        <v>5</v>
      </c>
      <c r="K25" t="s">
        <v>62</v>
      </c>
      <c r="S25" t="s">
        <v>62</v>
      </c>
    </row>
    <row r="26" spans="1:20" x14ac:dyDescent="0.25">
      <c r="G26" t="s">
        <v>92</v>
      </c>
      <c r="H26" t="str">
        <f t="shared" si="2"/>
        <v>C5</v>
      </c>
      <c r="I26" t="s">
        <v>76</v>
      </c>
      <c r="J26">
        <v>5</v>
      </c>
      <c r="K26" s="1" t="s">
        <v>63</v>
      </c>
      <c r="M26" t="s">
        <v>16</v>
      </c>
      <c r="O26" t="s">
        <v>67</v>
      </c>
      <c r="P26" t="s">
        <v>67</v>
      </c>
      <c r="Q26" t="str">
        <f t="shared" ref="Q26:Q28" si="11">_xlfn.CONCAT(O26,M26,P26,",")</f>
        <v>"Itália",</v>
      </c>
      <c r="S26" s="1" t="s">
        <v>63</v>
      </c>
      <c r="T26" t="str">
        <f>Q26</f>
        <v>"Itália",</v>
      </c>
    </row>
    <row r="27" spans="1:20" x14ac:dyDescent="0.25">
      <c r="H27" t="str">
        <f t="shared" si="2"/>
        <v/>
      </c>
      <c r="K27" t="s">
        <v>64</v>
      </c>
      <c r="M27">
        <v>2006</v>
      </c>
      <c r="O27" t="s">
        <v>67</v>
      </c>
      <c r="P27" t="s">
        <v>67</v>
      </c>
      <c r="Q27" t="str">
        <f t="shared" si="11"/>
        <v>"2006",</v>
      </c>
      <c r="S27" t="s">
        <v>64</v>
      </c>
      <c r="T27" t="str">
        <f t="shared" ref="T27:T29" si="12">Q27</f>
        <v>"2006",</v>
      </c>
    </row>
    <row r="28" spans="1:20" x14ac:dyDescent="0.25">
      <c r="G28" t="s">
        <v>93</v>
      </c>
      <c r="H28" t="str">
        <f t="shared" si="2"/>
        <v>B6</v>
      </c>
      <c r="I28" t="s">
        <v>73</v>
      </c>
      <c r="J28">
        <f>J23+1</f>
        <v>6</v>
      </c>
      <c r="K28" t="s">
        <v>65</v>
      </c>
      <c r="M28" t="s">
        <v>44</v>
      </c>
      <c r="O28" t="s">
        <v>67</v>
      </c>
      <c r="P28" t="s">
        <v>67</v>
      </c>
      <c r="Q28" t="str">
        <f t="shared" si="11"/>
        <v>"Marcello Lippi",</v>
      </c>
      <c r="S28" t="s">
        <v>65</v>
      </c>
      <c r="T28" t="str">
        <f t="shared" si="12"/>
        <v>"Marcello Lippi",</v>
      </c>
    </row>
    <row r="29" spans="1:20" x14ac:dyDescent="0.25">
      <c r="G29" t="s">
        <v>94</v>
      </c>
      <c r="H29" t="str">
        <f t="shared" si="2"/>
        <v>A6</v>
      </c>
      <c r="I29" t="s">
        <v>74</v>
      </c>
      <c r="J29">
        <f>J24+1</f>
        <v>6</v>
      </c>
      <c r="K29" t="s">
        <v>66</v>
      </c>
      <c r="M29" t="s">
        <v>5</v>
      </c>
      <c r="O29" t="s">
        <v>67</v>
      </c>
      <c r="P29" t="s">
        <v>67</v>
      </c>
      <c r="Q29" t="str">
        <f t="shared" ref="Q29" si="13">_xlfn.CONCAT(O29,M29,P29)</f>
        <v>"França"</v>
      </c>
      <c r="S29" t="s">
        <v>66</v>
      </c>
      <c r="T29" t="str">
        <f t="shared" si="12"/>
        <v>"França"</v>
      </c>
    </row>
    <row r="30" spans="1:20" x14ac:dyDescent="0.25">
      <c r="G30" t="s">
        <v>95</v>
      </c>
      <c r="H30" t="str">
        <f t="shared" si="2"/>
        <v>F6</v>
      </c>
      <c r="I30" t="s">
        <v>75</v>
      </c>
      <c r="J30">
        <f>J25+1</f>
        <v>6</v>
      </c>
      <c r="K30" t="s">
        <v>68</v>
      </c>
      <c r="S30" t="s">
        <v>68</v>
      </c>
    </row>
    <row r="31" spans="1:20" x14ac:dyDescent="0.25">
      <c r="G31" t="s">
        <v>96</v>
      </c>
      <c r="H31" t="str">
        <f t="shared" si="2"/>
        <v>C6</v>
      </c>
      <c r="I31" t="s">
        <v>76</v>
      </c>
      <c r="J31">
        <f>J26+1</f>
        <v>6</v>
      </c>
      <c r="K31" t="s">
        <v>62</v>
      </c>
      <c r="S31" t="s">
        <v>62</v>
      </c>
    </row>
    <row r="32" spans="1:20" x14ac:dyDescent="0.25">
      <c r="H32" t="str">
        <f t="shared" si="2"/>
        <v/>
      </c>
      <c r="K32" s="1" t="s">
        <v>63</v>
      </c>
      <c r="M32" t="s">
        <v>12</v>
      </c>
      <c r="O32" t="s">
        <v>67</v>
      </c>
      <c r="P32" t="s">
        <v>67</v>
      </c>
      <c r="Q32" t="str">
        <f t="shared" ref="Q32:Q34" si="14">_xlfn.CONCAT(O32,M32,P32,",")</f>
        <v>"Brasil",</v>
      </c>
      <c r="S32" s="1" t="s">
        <v>63</v>
      </c>
      <c r="T32" t="str">
        <f>Q32</f>
        <v>"Brasil",</v>
      </c>
    </row>
    <row r="33" spans="7:20" x14ac:dyDescent="0.25">
      <c r="G33" t="s">
        <v>97</v>
      </c>
      <c r="H33" t="str">
        <f t="shared" si="2"/>
        <v>B7</v>
      </c>
      <c r="I33" t="s">
        <v>73</v>
      </c>
      <c r="J33">
        <f>J28+1</f>
        <v>7</v>
      </c>
      <c r="K33" t="s">
        <v>64</v>
      </c>
      <c r="M33">
        <v>2002</v>
      </c>
      <c r="O33" t="s">
        <v>67</v>
      </c>
      <c r="P33" t="s">
        <v>67</v>
      </c>
      <c r="Q33" t="str">
        <f t="shared" si="14"/>
        <v>"2002",</v>
      </c>
      <c r="S33" t="s">
        <v>64</v>
      </c>
      <c r="T33" t="str">
        <f t="shared" ref="T33:T35" si="15">Q33</f>
        <v>"2002",</v>
      </c>
    </row>
    <row r="34" spans="7:20" x14ac:dyDescent="0.25">
      <c r="G34" t="s">
        <v>98</v>
      </c>
      <c r="H34" t="str">
        <f t="shared" si="2"/>
        <v>A7</v>
      </c>
      <c r="I34" t="s">
        <v>74</v>
      </c>
      <c r="J34">
        <f>J29+1</f>
        <v>7</v>
      </c>
      <c r="K34" t="s">
        <v>65</v>
      </c>
      <c r="M34" t="s">
        <v>45</v>
      </c>
      <c r="O34" t="s">
        <v>67</v>
      </c>
      <c r="P34" t="s">
        <v>67</v>
      </c>
      <c r="Q34" t="str">
        <f t="shared" si="14"/>
        <v>"Felipão",</v>
      </c>
      <c r="S34" t="s">
        <v>65</v>
      </c>
      <c r="T34" t="str">
        <f t="shared" si="15"/>
        <v>"Felipão",</v>
      </c>
    </row>
    <row r="35" spans="7:20" x14ac:dyDescent="0.25">
      <c r="G35" t="s">
        <v>99</v>
      </c>
      <c r="H35" t="str">
        <f t="shared" si="2"/>
        <v>F7</v>
      </c>
      <c r="I35" t="s">
        <v>75</v>
      </c>
      <c r="J35">
        <f>J30+1</f>
        <v>7</v>
      </c>
      <c r="K35" t="s">
        <v>66</v>
      </c>
      <c r="M35" t="s">
        <v>9</v>
      </c>
      <c r="O35" t="s">
        <v>67</v>
      </c>
      <c r="P35" t="s">
        <v>67</v>
      </c>
      <c r="Q35" t="str">
        <f t="shared" ref="Q35" si="16">_xlfn.CONCAT(O35,M35,P35)</f>
        <v>"Alemanha"</v>
      </c>
      <c r="S35" t="s">
        <v>66</v>
      </c>
      <c r="T35" t="str">
        <f t="shared" si="15"/>
        <v>"Alemanha"</v>
      </c>
    </row>
    <row r="36" spans="7:20" x14ac:dyDescent="0.25">
      <c r="G36" t="s">
        <v>100</v>
      </c>
      <c r="H36" t="str">
        <f t="shared" si="2"/>
        <v>C7</v>
      </c>
      <c r="I36" t="s">
        <v>76</v>
      </c>
      <c r="J36">
        <f>J31+1</f>
        <v>7</v>
      </c>
      <c r="K36" t="s">
        <v>68</v>
      </c>
      <c r="S36" t="s">
        <v>68</v>
      </c>
    </row>
    <row r="37" spans="7:20" x14ac:dyDescent="0.25">
      <c r="H37" t="str">
        <f t="shared" si="2"/>
        <v/>
      </c>
      <c r="K37" t="s">
        <v>62</v>
      </c>
      <c r="S37" t="s">
        <v>62</v>
      </c>
    </row>
    <row r="38" spans="7:20" x14ac:dyDescent="0.25">
      <c r="G38" t="s">
        <v>101</v>
      </c>
      <c r="H38" t="str">
        <f t="shared" si="2"/>
        <v>B8</v>
      </c>
      <c r="I38" t="s">
        <v>73</v>
      </c>
      <c r="J38">
        <f>J33+1</f>
        <v>8</v>
      </c>
      <c r="K38" s="1" t="s">
        <v>63</v>
      </c>
      <c r="M38" t="s">
        <v>5</v>
      </c>
      <c r="O38" t="s">
        <v>67</v>
      </c>
      <c r="P38" t="s">
        <v>67</v>
      </c>
      <c r="Q38" t="str">
        <f t="shared" ref="Q38:Q40" si="17">_xlfn.CONCAT(O38,M38,P38,",")</f>
        <v>"França",</v>
      </c>
      <c r="S38" s="1" t="s">
        <v>63</v>
      </c>
      <c r="T38" t="str">
        <f>Q38</f>
        <v>"França",</v>
      </c>
    </row>
    <row r="39" spans="7:20" x14ac:dyDescent="0.25">
      <c r="G39" t="s">
        <v>102</v>
      </c>
      <c r="H39" t="str">
        <f t="shared" si="2"/>
        <v>A8</v>
      </c>
      <c r="I39" t="s">
        <v>74</v>
      </c>
      <c r="J39">
        <f>J34+1</f>
        <v>8</v>
      </c>
      <c r="K39" t="s">
        <v>64</v>
      </c>
      <c r="M39">
        <v>1998</v>
      </c>
      <c r="O39" t="s">
        <v>67</v>
      </c>
      <c r="P39" t="s">
        <v>67</v>
      </c>
      <c r="Q39" t="str">
        <f t="shared" si="17"/>
        <v>"1998",</v>
      </c>
      <c r="S39" t="s">
        <v>64</v>
      </c>
      <c r="T39" t="str">
        <f t="shared" ref="T39:T41" si="18">Q39</f>
        <v>"1998",</v>
      </c>
    </row>
    <row r="40" spans="7:20" x14ac:dyDescent="0.25">
      <c r="G40" t="s">
        <v>103</v>
      </c>
      <c r="H40" t="str">
        <f t="shared" si="2"/>
        <v>F8</v>
      </c>
      <c r="I40" t="s">
        <v>75</v>
      </c>
      <c r="J40">
        <f>J35+1</f>
        <v>8</v>
      </c>
      <c r="K40" t="s">
        <v>65</v>
      </c>
      <c r="M40" t="s">
        <v>46</v>
      </c>
      <c r="O40" t="s">
        <v>67</v>
      </c>
      <c r="P40" t="s">
        <v>67</v>
      </c>
      <c r="Q40" t="str">
        <f t="shared" si="17"/>
        <v>"Aimé Jacquet",</v>
      </c>
      <c r="S40" t="s">
        <v>65</v>
      </c>
      <c r="T40" t="str">
        <f t="shared" si="18"/>
        <v>"Aimé Jacquet",</v>
      </c>
    </row>
    <row r="41" spans="7:20" x14ac:dyDescent="0.25">
      <c r="G41" t="s">
        <v>104</v>
      </c>
      <c r="H41" t="str">
        <f t="shared" si="2"/>
        <v>C8</v>
      </c>
      <c r="I41" t="s">
        <v>76</v>
      </c>
      <c r="J41">
        <f>J36+1</f>
        <v>8</v>
      </c>
      <c r="K41" t="s">
        <v>66</v>
      </c>
      <c r="M41" t="s">
        <v>12</v>
      </c>
      <c r="O41" t="s">
        <v>67</v>
      </c>
      <c r="P41" t="s">
        <v>67</v>
      </c>
      <c r="Q41" t="str">
        <f t="shared" ref="Q41" si="19">_xlfn.CONCAT(O41,M41,P41)</f>
        <v>"Brasil"</v>
      </c>
      <c r="S41" t="s">
        <v>66</v>
      </c>
      <c r="T41" t="str">
        <f t="shared" si="18"/>
        <v>"Brasil"</v>
      </c>
    </row>
    <row r="42" spans="7:20" x14ac:dyDescent="0.25">
      <c r="H42" t="str">
        <f t="shared" si="2"/>
        <v/>
      </c>
      <c r="K42" t="s">
        <v>68</v>
      </c>
      <c r="S42" t="s">
        <v>68</v>
      </c>
    </row>
    <row r="43" spans="7:20" x14ac:dyDescent="0.25">
      <c r="G43" t="s">
        <v>105</v>
      </c>
      <c r="H43" t="str">
        <f t="shared" si="2"/>
        <v>B9</v>
      </c>
      <c r="I43" t="s">
        <v>73</v>
      </c>
      <c r="J43">
        <f>J38+1</f>
        <v>9</v>
      </c>
      <c r="K43" t="s">
        <v>62</v>
      </c>
      <c r="S43" t="s">
        <v>62</v>
      </c>
    </row>
    <row r="44" spans="7:20" x14ac:dyDescent="0.25">
      <c r="G44" t="s">
        <v>106</v>
      </c>
      <c r="H44" t="str">
        <f t="shared" si="2"/>
        <v>A9</v>
      </c>
      <c r="I44" t="s">
        <v>74</v>
      </c>
      <c r="J44">
        <f>J39+1</f>
        <v>9</v>
      </c>
      <c r="K44" s="1" t="s">
        <v>63</v>
      </c>
      <c r="M44" t="s">
        <v>12</v>
      </c>
      <c r="O44" t="s">
        <v>67</v>
      </c>
      <c r="P44" t="s">
        <v>67</v>
      </c>
      <c r="Q44" t="str">
        <f t="shared" ref="Q44:Q46" si="20">_xlfn.CONCAT(O44,M44,P44,",")</f>
        <v>"Brasil",</v>
      </c>
      <c r="S44" s="1" t="s">
        <v>63</v>
      </c>
      <c r="T44" t="str">
        <f>Q44</f>
        <v>"Brasil",</v>
      </c>
    </row>
    <row r="45" spans="7:20" x14ac:dyDescent="0.25">
      <c r="G45" t="s">
        <v>107</v>
      </c>
      <c r="H45" t="str">
        <f t="shared" si="2"/>
        <v>F9</v>
      </c>
      <c r="I45" t="s">
        <v>75</v>
      </c>
      <c r="J45">
        <f>J40+1</f>
        <v>9</v>
      </c>
      <c r="K45" t="s">
        <v>64</v>
      </c>
      <c r="M45">
        <v>1994</v>
      </c>
      <c r="O45" t="s">
        <v>67</v>
      </c>
      <c r="P45" t="s">
        <v>67</v>
      </c>
      <c r="Q45" t="str">
        <f t="shared" si="20"/>
        <v>"1994",</v>
      </c>
      <c r="S45" t="s">
        <v>64</v>
      </c>
      <c r="T45" t="str">
        <f t="shared" ref="T45:T47" si="21">Q45</f>
        <v>"1994",</v>
      </c>
    </row>
    <row r="46" spans="7:20" x14ac:dyDescent="0.25">
      <c r="G46" t="s">
        <v>108</v>
      </c>
      <c r="H46" t="str">
        <f t="shared" si="2"/>
        <v>C9</v>
      </c>
      <c r="I46" t="s">
        <v>76</v>
      </c>
      <c r="J46">
        <f>J41+1</f>
        <v>9</v>
      </c>
      <c r="K46" t="s">
        <v>65</v>
      </c>
      <c r="M46" t="s">
        <v>47</v>
      </c>
      <c r="O46" t="s">
        <v>67</v>
      </c>
      <c r="P46" t="s">
        <v>67</v>
      </c>
      <c r="Q46" t="str">
        <f t="shared" si="20"/>
        <v>"Carlos Alberto Parreira",</v>
      </c>
      <c r="S46" t="s">
        <v>65</v>
      </c>
      <c r="T46" t="str">
        <f t="shared" si="21"/>
        <v>"Carlos Alberto Parreira",</v>
      </c>
    </row>
    <row r="47" spans="7:20" x14ac:dyDescent="0.25">
      <c r="H47" t="str">
        <f t="shared" si="2"/>
        <v/>
      </c>
      <c r="K47" t="s">
        <v>66</v>
      </c>
      <c r="M47" t="s">
        <v>21</v>
      </c>
      <c r="O47" t="s">
        <v>67</v>
      </c>
      <c r="P47" t="s">
        <v>67</v>
      </c>
      <c r="Q47" t="str">
        <f t="shared" ref="Q47" si="22">_xlfn.CONCAT(O47,M47,P47)</f>
        <v>"Italia"</v>
      </c>
      <c r="S47" t="s">
        <v>66</v>
      </c>
      <c r="T47" t="str">
        <f t="shared" si="21"/>
        <v>"Italia"</v>
      </c>
    </row>
    <row r="48" spans="7:20" x14ac:dyDescent="0.25">
      <c r="G48" t="s">
        <v>109</v>
      </c>
      <c r="H48" t="str">
        <f t="shared" si="2"/>
        <v>B10</v>
      </c>
      <c r="I48" t="s">
        <v>73</v>
      </c>
      <c r="J48">
        <f>J43+1</f>
        <v>10</v>
      </c>
      <c r="K48" t="s">
        <v>68</v>
      </c>
      <c r="S48" t="s">
        <v>68</v>
      </c>
    </row>
    <row r="49" spans="7:20" x14ac:dyDescent="0.25">
      <c r="G49" t="s">
        <v>110</v>
      </c>
      <c r="H49" t="str">
        <f t="shared" si="2"/>
        <v>A10</v>
      </c>
      <c r="I49" t="s">
        <v>74</v>
      </c>
      <c r="J49">
        <f>J44+1</f>
        <v>10</v>
      </c>
      <c r="K49" t="s">
        <v>62</v>
      </c>
      <c r="S49" t="s">
        <v>62</v>
      </c>
    </row>
    <row r="50" spans="7:20" x14ac:dyDescent="0.25">
      <c r="G50" t="s">
        <v>111</v>
      </c>
      <c r="H50" t="str">
        <f t="shared" si="2"/>
        <v>F10</v>
      </c>
      <c r="I50" t="s">
        <v>75</v>
      </c>
      <c r="J50">
        <f>J45+1</f>
        <v>10</v>
      </c>
      <c r="K50" s="1" t="s">
        <v>63</v>
      </c>
      <c r="M50" t="s">
        <v>24</v>
      </c>
      <c r="O50" t="s">
        <v>67</v>
      </c>
      <c r="P50" t="s">
        <v>67</v>
      </c>
      <c r="Q50" t="str">
        <f t="shared" ref="Q50:Q52" si="23">_xlfn.CONCAT(O50,M50,P50,",")</f>
        <v>"Alemanha Ocidental",</v>
      </c>
      <c r="S50" s="1" t="s">
        <v>63</v>
      </c>
      <c r="T50" t="str">
        <f>Q50</f>
        <v>"Alemanha Ocidental",</v>
      </c>
    </row>
    <row r="51" spans="7:20" x14ac:dyDescent="0.25">
      <c r="G51" t="s">
        <v>112</v>
      </c>
      <c r="H51" t="str">
        <f t="shared" si="2"/>
        <v>C10</v>
      </c>
      <c r="I51" t="s">
        <v>76</v>
      </c>
      <c r="J51">
        <f>J46+1</f>
        <v>10</v>
      </c>
      <c r="K51" t="s">
        <v>64</v>
      </c>
      <c r="M51">
        <v>1990</v>
      </c>
      <c r="O51" t="s">
        <v>67</v>
      </c>
      <c r="P51" t="s">
        <v>67</v>
      </c>
      <c r="Q51" t="str">
        <f t="shared" si="23"/>
        <v>"1990",</v>
      </c>
      <c r="S51" t="s">
        <v>64</v>
      </c>
      <c r="T51" t="str">
        <f t="shared" ref="T51:T53" si="24">Q51</f>
        <v>"1990",</v>
      </c>
    </row>
    <row r="52" spans="7:20" x14ac:dyDescent="0.25">
      <c r="H52" t="str">
        <f t="shared" si="2"/>
        <v/>
      </c>
      <c r="K52" t="s">
        <v>65</v>
      </c>
      <c r="M52" t="s">
        <v>48</v>
      </c>
      <c r="O52" t="s">
        <v>67</v>
      </c>
      <c r="P52" t="s">
        <v>67</v>
      </c>
      <c r="Q52" t="str">
        <f t="shared" si="23"/>
        <v>"Beckenbauer",</v>
      </c>
      <c r="S52" t="s">
        <v>65</v>
      </c>
      <c r="T52" t="str">
        <f t="shared" si="24"/>
        <v>"Beckenbauer",</v>
      </c>
    </row>
    <row r="53" spans="7:20" x14ac:dyDescent="0.25">
      <c r="G53" t="s">
        <v>113</v>
      </c>
      <c r="H53" t="str">
        <f t="shared" si="2"/>
        <v>B11</v>
      </c>
      <c r="I53" t="s">
        <v>73</v>
      </c>
      <c r="J53">
        <f>J48+1</f>
        <v>11</v>
      </c>
      <c r="K53" t="s">
        <v>66</v>
      </c>
      <c r="M53" t="s">
        <v>10</v>
      </c>
      <c r="O53" t="s">
        <v>67</v>
      </c>
      <c r="P53" t="s">
        <v>67</v>
      </c>
      <c r="Q53" t="str">
        <f t="shared" ref="Q53" si="25">_xlfn.CONCAT(O53,M53,P53)</f>
        <v>"Argentina"</v>
      </c>
      <c r="S53" t="s">
        <v>66</v>
      </c>
      <c r="T53" t="str">
        <f t="shared" si="24"/>
        <v>"Argentina"</v>
      </c>
    </row>
    <row r="54" spans="7:20" x14ac:dyDescent="0.25">
      <c r="G54" t="s">
        <v>114</v>
      </c>
      <c r="H54" t="str">
        <f t="shared" si="2"/>
        <v>A11</v>
      </c>
      <c r="I54" t="s">
        <v>74</v>
      </c>
      <c r="J54">
        <f>J49+1</f>
        <v>11</v>
      </c>
      <c r="K54" t="s">
        <v>68</v>
      </c>
      <c r="S54" t="s">
        <v>68</v>
      </c>
    </row>
    <row r="55" spans="7:20" x14ac:dyDescent="0.25">
      <c r="G55" t="s">
        <v>115</v>
      </c>
      <c r="H55" t="str">
        <f t="shared" si="2"/>
        <v>F11</v>
      </c>
      <c r="I55" t="s">
        <v>75</v>
      </c>
      <c r="J55">
        <f>J50+1</f>
        <v>11</v>
      </c>
      <c r="K55" t="s">
        <v>62</v>
      </c>
      <c r="S55" t="s">
        <v>62</v>
      </c>
    </row>
    <row r="56" spans="7:20" x14ac:dyDescent="0.25">
      <c r="G56" t="s">
        <v>116</v>
      </c>
      <c r="H56" t="str">
        <f t="shared" si="2"/>
        <v>C11</v>
      </c>
      <c r="I56" t="s">
        <v>76</v>
      </c>
      <c r="J56">
        <f>J51+1</f>
        <v>11</v>
      </c>
      <c r="K56" s="1" t="s">
        <v>63</v>
      </c>
      <c r="M56" t="s">
        <v>10</v>
      </c>
      <c r="O56" t="s">
        <v>67</v>
      </c>
      <c r="P56" t="s">
        <v>67</v>
      </c>
      <c r="Q56" t="str">
        <f t="shared" ref="Q56:Q58" si="26">_xlfn.CONCAT(O56,M56,P56,",")</f>
        <v>"Argentina",</v>
      </c>
      <c r="S56" s="1" t="s">
        <v>63</v>
      </c>
      <c r="T56" t="str">
        <f>Q56</f>
        <v>"Argentina",</v>
      </c>
    </row>
    <row r="57" spans="7:20" x14ac:dyDescent="0.25">
      <c r="H57" t="str">
        <f t="shared" si="2"/>
        <v/>
      </c>
      <c r="K57" t="s">
        <v>64</v>
      </c>
      <c r="M57">
        <v>1986</v>
      </c>
      <c r="O57" t="s">
        <v>67</v>
      </c>
      <c r="P57" t="s">
        <v>67</v>
      </c>
      <c r="Q57" t="str">
        <f t="shared" si="26"/>
        <v>"1986",</v>
      </c>
      <c r="S57" t="s">
        <v>64</v>
      </c>
      <c r="T57" t="str">
        <f t="shared" ref="T57:T59" si="27">Q57</f>
        <v>"1986",</v>
      </c>
    </row>
    <row r="58" spans="7:20" x14ac:dyDescent="0.25">
      <c r="G58" t="s">
        <v>117</v>
      </c>
      <c r="H58" t="str">
        <f t="shared" si="2"/>
        <v>B12</v>
      </c>
      <c r="I58" t="s">
        <v>73</v>
      </c>
      <c r="J58">
        <f>J53+1</f>
        <v>12</v>
      </c>
      <c r="K58" t="s">
        <v>65</v>
      </c>
      <c r="M58" t="s">
        <v>49</v>
      </c>
      <c r="O58" t="s">
        <v>67</v>
      </c>
      <c r="P58" t="s">
        <v>67</v>
      </c>
      <c r="Q58" t="str">
        <f t="shared" si="26"/>
        <v>"Carlos Bilardo",</v>
      </c>
      <c r="S58" t="s">
        <v>65</v>
      </c>
      <c r="T58" t="str">
        <f t="shared" si="27"/>
        <v>"Carlos Bilardo",</v>
      </c>
    </row>
    <row r="59" spans="7:20" x14ac:dyDescent="0.25">
      <c r="G59" t="s">
        <v>118</v>
      </c>
      <c r="H59" t="str">
        <f t="shared" si="2"/>
        <v>A12</v>
      </c>
      <c r="I59" t="s">
        <v>74</v>
      </c>
      <c r="J59">
        <f>J54+1</f>
        <v>12</v>
      </c>
      <c r="K59" t="s">
        <v>66</v>
      </c>
      <c r="M59" t="s">
        <v>24</v>
      </c>
      <c r="O59" t="s">
        <v>67</v>
      </c>
      <c r="P59" t="s">
        <v>67</v>
      </c>
      <c r="Q59" t="str">
        <f t="shared" ref="Q59" si="28">_xlfn.CONCAT(O59,M59,P59)</f>
        <v>"Alemanha Ocidental"</v>
      </c>
      <c r="S59" t="s">
        <v>66</v>
      </c>
      <c r="T59" t="str">
        <f t="shared" si="27"/>
        <v>"Alemanha Ocidental"</v>
      </c>
    </row>
    <row r="60" spans="7:20" x14ac:dyDescent="0.25">
      <c r="G60" t="s">
        <v>119</v>
      </c>
      <c r="H60" t="str">
        <f t="shared" si="2"/>
        <v>F12</v>
      </c>
      <c r="I60" t="s">
        <v>75</v>
      </c>
      <c r="J60">
        <f>J55+1</f>
        <v>12</v>
      </c>
      <c r="K60" t="s">
        <v>68</v>
      </c>
      <c r="S60" t="s">
        <v>68</v>
      </c>
    </row>
    <row r="61" spans="7:20" x14ac:dyDescent="0.25">
      <c r="G61" t="s">
        <v>120</v>
      </c>
      <c r="H61" t="str">
        <f t="shared" si="2"/>
        <v>C12</v>
      </c>
      <c r="I61" t="s">
        <v>76</v>
      </c>
      <c r="J61">
        <f>J56+1</f>
        <v>12</v>
      </c>
      <c r="K61" t="s">
        <v>62</v>
      </c>
      <c r="S61" t="s">
        <v>62</v>
      </c>
    </row>
    <row r="62" spans="7:20" x14ac:dyDescent="0.25">
      <c r="H62" t="str">
        <f t="shared" si="2"/>
        <v/>
      </c>
      <c r="K62" s="1" t="s">
        <v>63</v>
      </c>
      <c r="M62" t="s">
        <v>21</v>
      </c>
      <c r="O62" t="s">
        <v>67</v>
      </c>
      <c r="P62" t="s">
        <v>67</v>
      </c>
      <c r="Q62" t="str">
        <f t="shared" ref="Q62:Q64" si="29">_xlfn.CONCAT(O62,M62,P62,",")</f>
        <v>"Italia",</v>
      </c>
      <c r="S62" s="1" t="s">
        <v>63</v>
      </c>
      <c r="T62" t="str">
        <f>Q62</f>
        <v>"Italia",</v>
      </c>
    </row>
    <row r="63" spans="7:20" x14ac:dyDescent="0.25">
      <c r="G63" t="s">
        <v>121</v>
      </c>
      <c r="H63" t="str">
        <f t="shared" si="2"/>
        <v>B13</v>
      </c>
      <c r="I63" t="s">
        <v>73</v>
      </c>
      <c r="J63">
        <f>J58+1</f>
        <v>13</v>
      </c>
      <c r="K63" t="s">
        <v>64</v>
      </c>
      <c r="M63">
        <v>1982</v>
      </c>
      <c r="O63" t="s">
        <v>67</v>
      </c>
      <c r="P63" t="s">
        <v>67</v>
      </c>
      <c r="Q63" t="str">
        <f t="shared" si="29"/>
        <v>"1982",</v>
      </c>
      <c r="S63" t="s">
        <v>64</v>
      </c>
      <c r="T63" t="str">
        <f t="shared" ref="T63:T65" si="30">Q63</f>
        <v>"1982",</v>
      </c>
    </row>
    <row r="64" spans="7:20" x14ac:dyDescent="0.25">
      <c r="G64" t="s">
        <v>122</v>
      </c>
      <c r="H64" t="str">
        <f t="shared" si="2"/>
        <v>A13</v>
      </c>
      <c r="I64" t="s">
        <v>74</v>
      </c>
      <c r="J64">
        <f>J59+1</f>
        <v>13</v>
      </c>
      <c r="K64" t="s">
        <v>65</v>
      </c>
      <c r="M64" t="s">
        <v>50</v>
      </c>
      <c r="O64" t="s">
        <v>67</v>
      </c>
      <c r="P64" t="s">
        <v>67</v>
      </c>
      <c r="Q64" t="str">
        <f t="shared" si="29"/>
        <v>"Enzo Bearzot",</v>
      </c>
      <c r="S64" t="s">
        <v>65</v>
      </c>
      <c r="T64" t="str">
        <f t="shared" si="30"/>
        <v>"Enzo Bearzot",</v>
      </c>
    </row>
    <row r="65" spans="7:20" x14ac:dyDescent="0.25">
      <c r="G65" t="s">
        <v>123</v>
      </c>
      <c r="H65" t="str">
        <f t="shared" si="2"/>
        <v>F13</v>
      </c>
      <c r="I65" t="s">
        <v>75</v>
      </c>
      <c r="J65">
        <f>J60+1</f>
        <v>13</v>
      </c>
      <c r="K65" t="s">
        <v>66</v>
      </c>
      <c r="M65" t="s">
        <v>24</v>
      </c>
      <c r="O65" t="s">
        <v>67</v>
      </c>
      <c r="P65" t="s">
        <v>67</v>
      </c>
      <c r="Q65" t="str">
        <f t="shared" ref="Q65" si="31">_xlfn.CONCAT(O65,M65,P65)</f>
        <v>"Alemanha Ocidental"</v>
      </c>
      <c r="S65" t="s">
        <v>66</v>
      </c>
      <c r="T65" t="str">
        <f t="shared" si="30"/>
        <v>"Alemanha Ocidental"</v>
      </c>
    </row>
    <row r="66" spans="7:20" x14ac:dyDescent="0.25">
      <c r="G66" t="s">
        <v>124</v>
      </c>
      <c r="H66" t="str">
        <f t="shared" si="2"/>
        <v>C13</v>
      </c>
      <c r="I66" t="s">
        <v>76</v>
      </c>
      <c r="J66">
        <f>J61+1</f>
        <v>13</v>
      </c>
      <c r="K66" t="s">
        <v>68</v>
      </c>
      <c r="S66" t="s">
        <v>68</v>
      </c>
    </row>
    <row r="67" spans="7:20" x14ac:dyDescent="0.25">
      <c r="H67" t="str">
        <f t="shared" si="2"/>
        <v/>
      </c>
      <c r="K67" t="s">
        <v>62</v>
      </c>
      <c r="S67" t="s">
        <v>62</v>
      </c>
    </row>
    <row r="68" spans="7:20" x14ac:dyDescent="0.25">
      <c r="G68" t="s">
        <v>125</v>
      </c>
      <c r="H68" t="str">
        <f t="shared" si="2"/>
        <v>B14</v>
      </c>
      <c r="I68" t="s">
        <v>73</v>
      </c>
      <c r="J68">
        <f>J63+1</f>
        <v>14</v>
      </c>
      <c r="K68" s="1" t="s">
        <v>63</v>
      </c>
      <c r="M68" t="s">
        <v>10</v>
      </c>
      <c r="O68" t="s">
        <v>67</v>
      </c>
      <c r="P68" t="s">
        <v>67</v>
      </c>
      <c r="Q68" t="str">
        <f t="shared" ref="Q68:Q70" si="32">_xlfn.CONCAT(O68,M68,P68,",")</f>
        <v>"Argentina",</v>
      </c>
      <c r="S68" s="1" t="s">
        <v>63</v>
      </c>
      <c r="T68" t="str">
        <f>Q68</f>
        <v>"Argentina",</v>
      </c>
    </row>
    <row r="69" spans="7:20" x14ac:dyDescent="0.25">
      <c r="G69" t="s">
        <v>126</v>
      </c>
      <c r="H69" t="str">
        <f t="shared" si="2"/>
        <v>A14</v>
      </c>
      <c r="I69" t="s">
        <v>74</v>
      </c>
      <c r="J69">
        <f>J64+1</f>
        <v>14</v>
      </c>
      <c r="K69" t="s">
        <v>64</v>
      </c>
      <c r="M69">
        <v>1978</v>
      </c>
      <c r="O69" t="s">
        <v>67</v>
      </c>
      <c r="P69" t="s">
        <v>67</v>
      </c>
      <c r="Q69" t="str">
        <f t="shared" si="32"/>
        <v>"1978",</v>
      </c>
      <c r="S69" t="s">
        <v>64</v>
      </c>
      <c r="T69" t="str">
        <f t="shared" ref="T69:T71" si="33">Q69</f>
        <v>"1978",</v>
      </c>
    </row>
    <row r="70" spans="7:20" x14ac:dyDescent="0.25">
      <c r="G70" t="s">
        <v>127</v>
      </c>
      <c r="H70" t="str">
        <f t="shared" si="2"/>
        <v>F14</v>
      </c>
      <c r="I70" t="s">
        <v>75</v>
      </c>
      <c r="J70">
        <f>J65+1</f>
        <v>14</v>
      </c>
      <c r="K70" t="s">
        <v>65</v>
      </c>
      <c r="M70" t="s">
        <v>51</v>
      </c>
      <c r="O70" t="s">
        <v>67</v>
      </c>
      <c r="P70" t="s">
        <v>67</v>
      </c>
      <c r="Q70" t="str">
        <f t="shared" si="32"/>
        <v>"César Menotti",</v>
      </c>
      <c r="S70" t="s">
        <v>65</v>
      </c>
      <c r="T70" t="str">
        <f t="shared" si="33"/>
        <v>"César Menotti",</v>
      </c>
    </row>
    <row r="71" spans="7:20" x14ac:dyDescent="0.25">
      <c r="G71" t="s">
        <v>128</v>
      </c>
      <c r="H71" t="str">
        <f t="shared" si="2"/>
        <v>C14</v>
      </c>
      <c r="I71" t="s">
        <v>76</v>
      </c>
      <c r="J71">
        <f>J66+1</f>
        <v>14</v>
      </c>
      <c r="K71" t="s">
        <v>66</v>
      </c>
      <c r="M71" t="s">
        <v>14</v>
      </c>
      <c r="O71" t="s">
        <v>67</v>
      </c>
      <c r="P71" t="s">
        <v>67</v>
      </c>
      <c r="Q71" t="str">
        <f t="shared" ref="Q71" si="34">_xlfn.CONCAT(O71,M71,P71)</f>
        <v>"Holanda"</v>
      </c>
      <c r="S71" t="s">
        <v>66</v>
      </c>
      <c r="T71" t="str">
        <f t="shared" si="33"/>
        <v>"Holanda"</v>
      </c>
    </row>
    <row r="72" spans="7:20" x14ac:dyDescent="0.25">
      <c r="H72" t="str">
        <f t="shared" si="2"/>
        <v/>
      </c>
      <c r="K72" t="s">
        <v>68</v>
      </c>
      <c r="S72" t="s">
        <v>68</v>
      </c>
    </row>
    <row r="73" spans="7:20" x14ac:dyDescent="0.25">
      <c r="G73" t="s">
        <v>129</v>
      </c>
      <c r="H73" t="str">
        <f t="shared" ref="H73:H96" si="35">_xlfn.CONCAT(I73,J73)</f>
        <v>B15</v>
      </c>
      <c r="I73" t="s">
        <v>73</v>
      </c>
      <c r="J73">
        <f>J68+1</f>
        <v>15</v>
      </c>
      <c r="K73" t="s">
        <v>62</v>
      </c>
      <c r="S73" t="s">
        <v>62</v>
      </c>
    </row>
    <row r="74" spans="7:20" x14ac:dyDescent="0.25">
      <c r="G74" t="s">
        <v>130</v>
      </c>
      <c r="H74" t="str">
        <f t="shared" si="35"/>
        <v>A15</v>
      </c>
      <c r="I74" t="s">
        <v>74</v>
      </c>
      <c r="J74">
        <f>J69+1</f>
        <v>15</v>
      </c>
      <c r="K74" s="1" t="s">
        <v>63</v>
      </c>
      <c r="M74" t="s">
        <v>24</v>
      </c>
      <c r="O74" t="s">
        <v>67</v>
      </c>
      <c r="P74" t="s">
        <v>67</v>
      </c>
      <c r="Q74" t="str">
        <f t="shared" ref="Q74:Q76" si="36">_xlfn.CONCAT(O74,M74,P74,",")</f>
        <v>"Alemanha Ocidental",</v>
      </c>
      <c r="S74" s="1" t="s">
        <v>63</v>
      </c>
      <c r="T74" t="str">
        <f>Q74</f>
        <v>"Alemanha Ocidental",</v>
      </c>
    </row>
    <row r="75" spans="7:20" x14ac:dyDescent="0.25">
      <c r="G75" t="s">
        <v>131</v>
      </c>
      <c r="H75" t="str">
        <f t="shared" si="35"/>
        <v>F15</v>
      </c>
      <c r="I75" t="s">
        <v>75</v>
      </c>
      <c r="J75">
        <f>J70+1</f>
        <v>15</v>
      </c>
      <c r="K75" t="s">
        <v>64</v>
      </c>
      <c r="M75">
        <v>1974</v>
      </c>
      <c r="O75" t="s">
        <v>67</v>
      </c>
      <c r="P75" t="s">
        <v>67</v>
      </c>
      <c r="Q75" t="str">
        <f t="shared" si="36"/>
        <v>"1974",</v>
      </c>
      <c r="S75" t="s">
        <v>64</v>
      </c>
      <c r="T75" t="str">
        <f t="shared" ref="T75:T77" si="37">Q75</f>
        <v>"1974",</v>
      </c>
    </row>
    <row r="76" spans="7:20" x14ac:dyDescent="0.25">
      <c r="G76" t="s">
        <v>132</v>
      </c>
      <c r="H76" t="str">
        <f t="shared" si="35"/>
        <v>C15</v>
      </c>
      <c r="I76" t="s">
        <v>76</v>
      </c>
      <c r="J76">
        <f>J71+1</f>
        <v>15</v>
      </c>
      <c r="K76" t="s">
        <v>65</v>
      </c>
      <c r="M76" t="s">
        <v>52</v>
      </c>
      <c r="O76" t="s">
        <v>67</v>
      </c>
      <c r="P76" t="s">
        <v>67</v>
      </c>
      <c r="Q76" t="str">
        <f t="shared" si="36"/>
        <v>"Helmut Schön",</v>
      </c>
      <c r="S76" t="s">
        <v>65</v>
      </c>
      <c r="T76" t="str">
        <f t="shared" si="37"/>
        <v>"Helmut Schön",</v>
      </c>
    </row>
    <row r="77" spans="7:20" x14ac:dyDescent="0.25">
      <c r="H77" t="str">
        <f t="shared" si="35"/>
        <v/>
      </c>
      <c r="K77" t="s">
        <v>66</v>
      </c>
      <c r="M77" t="s">
        <v>14</v>
      </c>
      <c r="O77" t="s">
        <v>67</v>
      </c>
      <c r="P77" t="s">
        <v>67</v>
      </c>
      <c r="Q77" t="str">
        <f t="shared" ref="Q77" si="38">_xlfn.CONCAT(O77,M77,P77)</f>
        <v>"Holanda"</v>
      </c>
      <c r="S77" t="s">
        <v>66</v>
      </c>
      <c r="T77" t="str">
        <f t="shared" si="37"/>
        <v>"Holanda"</v>
      </c>
    </row>
    <row r="78" spans="7:20" x14ac:dyDescent="0.25">
      <c r="G78" t="s">
        <v>133</v>
      </c>
      <c r="H78" t="str">
        <f t="shared" si="35"/>
        <v>B16</v>
      </c>
      <c r="I78" t="s">
        <v>73</v>
      </c>
      <c r="J78">
        <f>J73+1</f>
        <v>16</v>
      </c>
      <c r="K78" t="s">
        <v>68</v>
      </c>
      <c r="S78" t="s">
        <v>68</v>
      </c>
    </row>
    <row r="79" spans="7:20" x14ac:dyDescent="0.25">
      <c r="G79" t="s">
        <v>134</v>
      </c>
      <c r="H79" t="str">
        <f t="shared" si="35"/>
        <v>A16</v>
      </c>
      <c r="I79" t="s">
        <v>74</v>
      </c>
      <c r="J79">
        <f>J74+1</f>
        <v>16</v>
      </c>
      <c r="K79" t="s">
        <v>62</v>
      </c>
      <c r="S79" t="s">
        <v>62</v>
      </c>
    </row>
    <row r="80" spans="7:20" x14ac:dyDescent="0.25">
      <c r="G80" t="s">
        <v>135</v>
      </c>
      <c r="H80" t="str">
        <f t="shared" si="35"/>
        <v>F16</v>
      </c>
      <c r="I80" t="s">
        <v>75</v>
      </c>
      <c r="J80">
        <f>J75+1</f>
        <v>16</v>
      </c>
      <c r="K80" s="1" t="s">
        <v>63</v>
      </c>
      <c r="M80" t="s">
        <v>12</v>
      </c>
      <c r="O80" t="s">
        <v>67</v>
      </c>
      <c r="P80" t="s">
        <v>67</v>
      </c>
      <c r="Q80" t="str">
        <f t="shared" ref="Q80:Q82" si="39">_xlfn.CONCAT(O80,M80,P80,",")</f>
        <v>"Brasil",</v>
      </c>
      <c r="S80" s="1" t="s">
        <v>63</v>
      </c>
      <c r="T80" t="str">
        <f>Q80</f>
        <v>"Brasil",</v>
      </c>
    </row>
    <row r="81" spans="7:20" x14ac:dyDescent="0.25">
      <c r="G81" t="s">
        <v>136</v>
      </c>
      <c r="H81" t="str">
        <f t="shared" si="35"/>
        <v>C16</v>
      </c>
      <c r="I81" t="s">
        <v>76</v>
      </c>
      <c r="J81">
        <f>J76+1</f>
        <v>16</v>
      </c>
      <c r="K81" t="s">
        <v>64</v>
      </c>
      <c r="M81">
        <v>1970</v>
      </c>
      <c r="O81" t="s">
        <v>67</v>
      </c>
      <c r="P81" t="s">
        <v>67</v>
      </c>
      <c r="Q81" t="str">
        <f t="shared" si="39"/>
        <v>"1970",</v>
      </c>
      <c r="S81" t="s">
        <v>64</v>
      </c>
      <c r="T81" t="str">
        <f t="shared" ref="T81:T83" si="40">Q81</f>
        <v>"1970",</v>
      </c>
    </row>
    <row r="82" spans="7:20" x14ac:dyDescent="0.25">
      <c r="H82" t="str">
        <f t="shared" si="35"/>
        <v/>
      </c>
      <c r="K82" t="s">
        <v>65</v>
      </c>
      <c r="M82" t="s">
        <v>53</v>
      </c>
      <c r="O82" t="s">
        <v>67</v>
      </c>
      <c r="P82" t="s">
        <v>67</v>
      </c>
      <c r="Q82" t="str">
        <f t="shared" si="39"/>
        <v>"Zagallo",</v>
      </c>
      <c r="S82" t="s">
        <v>65</v>
      </c>
      <c r="T82" t="str">
        <f t="shared" si="40"/>
        <v>"Zagallo",</v>
      </c>
    </row>
    <row r="83" spans="7:20" x14ac:dyDescent="0.25">
      <c r="G83" t="s">
        <v>137</v>
      </c>
      <c r="H83" t="str">
        <f t="shared" si="35"/>
        <v>B17</v>
      </c>
      <c r="I83" t="s">
        <v>73</v>
      </c>
      <c r="J83">
        <f>J78+1</f>
        <v>17</v>
      </c>
      <c r="K83" t="s">
        <v>66</v>
      </c>
      <c r="M83" t="s">
        <v>21</v>
      </c>
      <c r="O83" t="s">
        <v>67</v>
      </c>
      <c r="P83" t="s">
        <v>67</v>
      </c>
      <c r="Q83" t="str">
        <f t="shared" ref="Q83" si="41">_xlfn.CONCAT(O83,M83,P83)</f>
        <v>"Italia"</v>
      </c>
      <c r="S83" t="s">
        <v>66</v>
      </c>
      <c r="T83" t="str">
        <f t="shared" si="40"/>
        <v>"Italia"</v>
      </c>
    </row>
    <row r="84" spans="7:20" x14ac:dyDescent="0.25">
      <c r="G84" t="s">
        <v>138</v>
      </c>
      <c r="H84" t="str">
        <f t="shared" si="35"/>
        <v>A17</v>
      </c>
      <c r="I84" t="s">
        <v>74</v>
      </c>
      <c r="J84">
        <f>J79+1</f>
        <v>17</v>
      </c>
      <c r="K84" t="s">
        <v>68</v>
      </c>
      <c r="S84" t="s">
        <v>68</v>
      </c>
    </row>
    <row r="85" spans="7:20" x14ac:dyDescent="0.25">
      <c r="G85" t="s">
        <v>139</v>
      </c>
      <c r="H85" t="str">
        <f t="shared" si="35"/>
        <v>F17</v>
      </c>
      <c r="I85" t="s">
        <v>75</v>
      </c>
      <c r="J85">
        <f>J80+1</f>
        <v>17</v>
      </c>
      <c r="K85" t="s">
        <v>62</v>
      </c>
      <c r="S85" t="s">
        <v>62</v>
      </c>
    </row>
    <row r="86" spans="7:20" x14ac:dyDescent="0.25">
      <c r="G86" t="s">
        <v>140</v>
      </c>
      <c r="H86" t="str">
        <f t="shared" si="35"/>
        <v>C17</v>
      </c>
      <c r="I86" t="s">
        <v>76</v>
      </c>
      <c r="J86">
        <f>J81+1</f>
        <v>17</v>
      </c>
      <c r="K86" s="1" t="s">
        <v>63</v>
      </c>
      <c r="M86" t="s">
        <v>31</v>
      </c>
      <c r="O86" t="s">
        <v>67</v>
      </c>
      <c r="P86" t="s">
        <v>67</v>
      </c>
      <c r="Q86" t="str">
        <f t="shared" ref="Q86:Q88" si="42">_xlfn.CONCAT(O86,M86,P86,",")</f>
        <v>"Inglaterra",</v>
      </c>
      <c r="S86" s="1" t="s">
        <v>63</v>
      </c>
      <c r="T86" t="str">
        <f>Q86</f>
        <v>"Inglaterra",</v>
      </c>
    </row>
    <row r="87" spans="7:20" x14ac:dyDescent="0.25">
      <c r="H87" t="str">
        <f t="shared" si="35"/>
        <v/>
      </c>
      <c r="K87" t="s">
        <v>64</v>
      </c>
      <c r="M87">
        <v>1966</v>
      </c>
      <c r="O87" t="s">
        <v>67</v>
      </c>
      <c r="P87" t="s">
        <v>67</v>
      </c>
      <c r="Q87" t="str">
        <f t="shared" si="42"/>
        <v>"1966",</v>
      </c>
      <c r="S87" t="s">
        <v>64</v>
      </c>
      <c r="T87" t="str">
        <f t="shared" ref="T87:T89" si="43">Q87</f>
        <v>"1966",</v>
      </c>
    </row>
    <row r="88" spans="7:20" x14ac:dyDescent="0.25">
      <c r="G88" t="s">
        <v>141</v>
      </c>
      <c r="H88" t="str">
        <f t="shared" si="35"/>
        <v>B18</v>
      </c>
      <c r="I88" t="s">
        <v>73</v>
      </c>
      <c r="J88">
        <f>J83+1</f>
        <v>18</v>
      </c>
      <c r="K88" t="s">
        <v>65</v>
      </c>
      <c r="M88" t="s">
        <v>54</v>
      </c>
      <c r="O88" t="s">
        <v>67</v>
      </c>
      <c r="P88" t="s">
        <v>67</v>
      </c>
      <c r="Q88" t="str">
        <f t="shared" si="42"/>
        <v>"Alf Ramsey",</v>
      </c>
      <c r="S88" t="s">
        <v>65</v>
      </c>
      <c r="T88" t="str">
        <f t="shared" si="43"/>
        <v>"Alf Ramsey",</v>
      </c>
    </row>
    <row r="89" spans="7:20" x14ac:dyDescent="0.25">
      <c r="G89" t="s">
        <v>142</v>
      </c>
      <c r="H89" t="str">
        <f t="shared" si="35"/>
        <v>A18</v>
      </c>
      <c r="I89" t="s">
        <v>74</v>
      </c>
      <c r="J89">
        <f>J84+1</f>
        <v>18</v>
      </c>
      <c r="K89" t="s">
        <v>66</v>
      </c>
      <c r="M89" t="s">
        <v>24</v>
      </c>
      <c r="O89" t="s">
        <v>67</v>
      </c>
      <c r="P89" t="s">
        <v>67</v>
      </c>
      <c r="Q89" t="str">
        <f t="shared" ref="Q89" si="44">_xlfn.CONCAT(O89,M89,P89)</f>
        <v>"Alemanha Ocidental"</v>
      </c>
      <c r="S89" t="s">
        <v>66</v>
      </c>
      <c r="T89" t="str">
        <f t="shared" si="43"/>
        <v>"Alemanha Ocidental"</v>
      </c>
    </row>
    <row r="90" spans="7:20" x14ac:dyDescent="0.25">
      <c r="G90" t="s">
        <v>143</v>
      </c>
      <c r="H90" t="str">
        <f t="shared" si="35"/>
        <v>F18</v>
      </c>
      <c r="I90" t="s">
        <v>75</v>
      </c>
      <c r="J90">
        <f>J85+1</f>
        <v>18</v>
      </c>
      <c r="K90" t="s">
        <v>68</v>
      </c>
      <c r="S90" t="s">
        <v>68</v>
      </c>
    </row>
    <row r="91" spans="7:20" x14ac:dyDescent="0.25">
      <c r="G91" t="s">
        <v>144</v>
      </c>
      <c r="H91" t="str">
        <f t="shared" si="35"/>
        <v>C18</v>
      </c>
      <c r="I91" t="s">
        <v>76</v>
      </c>
      <c r="J91">
        <f>J86+1</f>
        <v>18</v>
      </c>
      <c r="K91" t="s">
        <v>62</v>
      </c>
      <c r="S91" t="s">
        <v>62</v>
      </c>
    </row>
    <row r="92" spans="7:20" x14ac:dyDescent="0.25">
      <c r="H92" t="str">
        <f t="shared" si="35"/>
        <v/>
      </c>
      <c r="K92" s="1" t="s">
        <v>63</v>
      </c>
      <c r="M92" t="s">
        <v>12</v>
      </c>
      <c r="O92" t="s">
        <v>67</v>
      </c>
      <c r="P92" t="s">
        <v>67</v>
      </c>
      <c r="Q92" t="str">
        <f t="shared" ref="Q92:Q94" si="45">_xlfn.CONCAT(O92,M92,P92,",")</f>
        <v>"Brasil",</v>
      </c>
      <c r="S92" s="1" t="s">
        <v>63</v>
      </c>
      <c r="T92" t="str">
        <f>Q92</f>
        <v>"Brasil",</v>
      </c>
    </row>
    <row r="93" spans="7:20" x14ac:dyDescent="0.25">
      <c r="G93" t="s">
        <v>145</v>
      </c>
      <c r="H93" t="str">
        <f t="shared" si="35"/>
        <v>B19</v>
      </c>
      <c r="I93" t="s">
        <v>73</v>
      </c>
      <c r="J93">
        <f>J88+1</f>
        <v>19</v>
      </c>
      <c r="K93" t="s">
        <v>64</v>
      </c>
      <c r="M93">
        <v>1962</v>
      </c>
      <c r="O93" t="s">
        <v>67</v>
      </c>
      <c r="P93" t="s">
        <v>67</v>
      </c>
      <c r="Q93" t="str">
        <f t="shared" si="45"/>
        <v>"1962",</v>
      </c>
      <c r="S93" t="s">
        <v>64</v>
      </c>
      <c r="T93" t="str">
        <f t="shared" ref="T93:T95" si="46">Q93</f>
        <v>"1962",</v>
      </c>
    </row>
    <row r="94" spans="7:20" x14ac:dyDescent="0.25">
      <c r="G94" t="s">
        <v>146</v>
      </c>
      <c r="H94" t="str">
        <f t="shared" si="35"/>
        <v>A19</v>
      </c>
      <c r="I94" t="s">
        <v>74</v>
      </c>
      <c r="J94">
        <f>J89+1</f>
        <v>19</v>
      </c>
      <c r="K94" t="s">
        <v>65</v>
      </c>
      <c r="M94" t="s">
        <v>55</v>
      </c>
      <c r="O94" t="s">
        <v>67</v>
      </c>
      <c r="P94" t="s">
        <v>67</v>
      </c>
      <c r="Q94" t="str">
        <f t="shared" si="45"/>
        <v>"Aymoré Moreira",</v>
      </c>
      <c r="S94" t="s">
        <v>65</v>
      </c>
      <c r="T94" t="str">
        <f t="shared" si="46"/>
        <v>"Aymoré Moreira",</v>
      </c>
    </row>
    <row r="95" spans="7:20" x14ac:dyDescent="0.25">
      <c r="G95" t="s">
        <v>147</v>
      </c>
      <c r="H95" t="str">
        <f t="shared" si="35"/>
        <v>F19</v>
      </c>
      <c r="I95" t="s">
        <v>75</v>
      </c>
      <c r="J95">
        <f>J90+1</f>
        <v>19</v>
      </c>
      <c r="K95" t="s">
        <v>66</v>
      </c>
      <c r="M95" t="s">
        <v>33</v>
      </c>
      <c r="O95" t="s">
        <v>67</v>
      </c>
      <c r="P95" t="s">
        <v>67</v>
      </c>
      <c r="Q95" t="str">
        <f t="shared" ref="Q95" si="47">_xlfn.CONCAT(O95,M95,P95)</f>
        <v>"Tchecoslovaquia"</v>
      </c>
      <c r="S95" t="s">
        <v>66</v>
      </c>
      <c r="T95" t="str">
        <f t="shared" si="46"/>
        <v>"Tchecoslovaquia"</v>
      </c>
    </row>
    <row r="96" spans="7:20" x14ac:dyDescent="0.25">
      <c r="G96" t="s">
        <v>148</v>
      </c>
      <c r="H96" t="str">
        <f t="shared" si="35"/>
        <v>C19</v>
      </c>
      <c r="I96" t="s">
        <v>76</v>
      </c>
      <c r="J96">
        <f>J91+1</f>
        <v>19</v>
      </c>
      <c r="K96" t="s">
        <v>68</v>
      </c>
      <c r="S96" t="s">
        <v>68</v>
      </c>
    </row>
    <row r="97" spans="11:20" x14ac:dyDescent="0.25">
      <c r="K97" t="s">
        <v>62</v>
      </c>
      <c r="S97" t="s">
        <v>62</v>
      </c>
    </row>
    <row r="98" spans="11:20" x14ac:dyDescent="0.25">
      <c r="K98" s="1" t="s">
        <v>63</v>
      </c>
      <c r="M98" t="s">
        <v>12</v>
      </c>
      <c r="O98" t="s">
        <v>67</v>
      </c>
      <c r="P98" t="s">
        <v>67</v>
      </c>
      <c r="Q98" t="str">
        <f t="shared" ref="Q98:Q100" si="48">_xlfn.CONCAT(O98,M98,P98,",")</f>
        <v>"Brasil",</v>
      </c>
      <c r="S98" s="1" t="s">
        <v>63</v>
      </c>
      <c r="T98" t="str">
        <f>Q98</f>
        <v>"Brasil",</v>
      </c>
    </row>
    <row r="99" spans="11:20" x14ac:dyDescent="0.25">
      <c r="K99" t="s">
        <v>64</v>
      </c>
      <c r="M99">
        <v>1958</v>
      </c>
      <c r="O99" t="s">
        <v>67</v>
      </c>
      <c r="P99" t="s">
        <v>67</v>
      </c>
      <c r="Q99" t="str">
        <f t="shared" si="48"/>
        <v>"1958",</v>
      </c>
      <c r="S99" t="s">
        <v>64</v>
      </c>
      <c r="T99" t="str">
        <f t="shared" ref="T99:T101" si="49">Q99</f>
        <v>"1958",</v>
      </c>
    </row>
    <row r="100" spans="11:20" x14ac:dyDescent="0.25">
      <c r="K100" t="s">
        <v>65</v>
      </c>
      <c r="M100" t="s">
        <v>56</v>
      </c>
      <c r="O100" t="s">
        <v>67</v>
      </c>
      <c r="P100" t="s">
        <v>67</v>
      </c>
      <c r="Q100" t="str">
        <f t="shared" si="48"/>
        <v>"Vicente Feola",</v>
      </c>
      <c r="S100" t="s">
        <v>65</v>
      </c>
      <c r="T100" t="str">
        <f t="shared" si="49"/>
        <v>"Vicente Feola",</v>
      </c>
    </row>
    <row r="101" spans="11:20" x14ac:dyDescent="0.25">
      <c r="K101" t="s">
        <v>66</v>
      </c>
      <c r="M101" t="s">
        <v>35</v>
      </c>
      <c r="O101" t="s">
        <v>67</v>
      </c>
      <c r="P101" t="s">
        <v>67</v>
      </c>
      <c r="Q101" t="str">
        <f t="shared" ref="Q101" si="50">_xlfn.CONCAT(O101,M101,P101)</f>
        <v>"Suecia"</v>
      </c>
      <c r="S101" t="s">
        <v>66</v>
      </c>
      <c r="T101" t="str">
        <f t="shared" si="49"/>
        <v>"Suecia"</v>
      </c>
    </row>
    <row r="102" spans="11:20" x14ac:dyDescent="0.25">
      <c r="K102" t="s">
        <v>68</v>
      </c>
      <c r="S102" t="s">
        <v>68</v>
      </c>
    </row>
    <row r="103" spans="11:20" x14ac:dyDescent="0.25">
      <c r="K103" t="s">
        <v>62</v>
      </c>
      <c r="S103" t="s">
        <v>62</v>
      </c>
    </row>
    <row r="104" spans="11:20" x14ac:dyDescent="0.25">
      <c r="K104" s="1" t="s">
        <v>63</v>
      </c>
      <c r="M104" t="s">
        <v>24</v>
      </c>
      <c r="O104" t="s">
        <v>67</v>
      </c>
      <c r="P104" t="s">
        <v>67</v>
      </c>
      <c r="Q104" t="str">
        <f t="shared" ref="Q104:Q106" si="51">_xlfn.CONCAT(O104,M104,P104,",")</f>
        <v>"Alemanha Ocidental",</v>
      </c>
      <c r="S104" s="1" t="s">
        <v>63</v>
      </c>
      <c r="T104" t="str">
        <f>Q104</f>
        <v>"Alemanha Ocidental",</v>
      </c>
    </row>
    <row r="105" spans="11:20" x14ac:dyDescent="0.25">
      <c r="K105" t="s">
        <v>64</v>
      </c>
      <c r="M105">
        <v>1954</v>
      </c>
      <c r="O105" t="s">
        <v>67</v>
      </c>
      <c r="P105" t="s">
        <v>67</v>
      </c>
      <c r="Q105" t="str">
        <f t="shared" si="51"/>
        <v>"1954",</v>
      </c>
      <c r="S105" t="s">
        <v>64</v>
      </c>
      <c r="T105" t="str">
        <f t="shared" ref="T105:T107" si="52">Q105</f>
        <v>"1954",</v>
      </c>
    </row>
    <row r="106" spans="11:20" x14ac:dyDescent="0.25">
      <c r="K106" t="s">
        <v>65</v>
      </c>
      <c r="M106" t="s">
        <v>57</v>
      </c>
      <c r="O106" t="s">
        <v>67</v>
      </c>
      <c r="P106" t="s">
        <v>67</v>
      </c>
      <c r="Q106" t="str">
        <f t="shared" si="51"/>
        <v>"Sepp Herberger",</v>
      </c>
      <c r="S106" t="s">
        <v>65</v>
      </c>
      <c r="T106" t="str">
        <f t="shared" si="52"/>
        <v>"Sepp Herberger",</v>
      </c>
    </row>
    <row r="107" spans="11:20" x14ac:dyDescent="0.25">
      <c r="K107" t="s">
        <v>66</v>
      </c>
      <c r="M107" t="s">
        <v>38</v>
      </c>
      <c r="O107" t="s">
        <v>67</v>
      </c>
      <c r="P107" t="s">
        <v>67</v>
      </c>
      <c r="Q107" t="str">
        <f t="shared" ref="Q107" si="53">_xlfn.CONCAT(O107,M107,P107)</f>
        <v>"Hungria"</v>
      </c>
      <c r="S107" t="s">
        <v>66</v>
      </c>
      <c r="T107" t="str">
        <f t="shared" si="52"/>
        <v>"Hungria"</v>
      </c>
    </row>
    <row r="108" spans="11:20" x14ac:dyDescent="0.25">
      <c r="K108" t="s">
        <v>68</v>
      </c>
      <c r="S108" t="s">
        <v>68</v>
      </c>
    </row>
    <row r="109" spans="11:20" x14ac:dyDescent="0.25">
      <c r="K109" t="s">
        <v>62</v>
      </c>
      <c r="S109" t="s">
        <v>62</v>
      </c>
    </row>
    <row r="110" spans="11:20" x14ac:dyDescent="0.25">
      <c r="K110" s="1" t="s">
        <v>63</v>
      </c>
      <c r="M110" t="s">
        <v>40</v>
      </c>
      <c r="O110" t="s">
        <v>67</v>
      </c>
      <c r="P110" t="s">
        <v>67</v>
      </c>
      <c r="Q110" t="str">
        <f t="shared" ref="Q110:Q112" si="54">_xlfn.CONCAT(O110,M110,P110,",")</f>
        <v>"Uruguai",</v>
      </c>
      <c r="S110" s="1" t="s">
        <v>63</v>
      </c>
      <c r="T110" t="str">
        <f>Q110</f>
        <v>"Uruguai",</v>
      </c>
    </row>
    <row r="111" spans="11:20" x14ac:dyDescent="0.25">
      <c r="K111" t="s">
        <v>64</v>
      </c>
      <c r="M111">
        <v>1950</v>
      </c>
      <c r="O111" t="s">
        <v>67</v>
      </c>
      <c r="P111" t="s">
        <v>67</v>
      </c>
      <c r="Q111" t="str">
        <f t="shared" si="54"/>
        <v>"1950",</v>
      </c>
      <c r="S111" t="s">
        <v>64</v>
      </c>
      <c r="T111" t="str">
        <f t="shared" ref="T111:T113" si="55">Q111</f>
        <v>"1950",</v>
      </c>
    </row>
    <row r="112" spans="11:20" x14ac:dyDescent="0.25">
      <c r="K112" t="s">
        <v>65</v>
      </c>
      <c r="M112" t="s">
        <v>58</v>
      </c>
      <c r="O112" t="s">
        <v>67</v>
      </c>
      <c r="P112" t="s">
        <v>67</v>
      </c>
      <c r="Q112" t="str">
        <f t="shared" si="54"/>
        <v>"Juan López Fontana",</v>
      </c>
      <c r="S112" t="s">
        <v>65</v>
      </c>
      <c r="T112" t="str">
        <f t="shared" si="55"/>
        <v>"Juan López Fontana",</v>
      </c>
    </row>
    <row r="113" spans="11:20" x14ac:dyDescent="0.25">
      <c r="K113" t="s">
        <v>66</v>
      </c>
      <c r="M113" t="s">
        <v>12</v>
      </c>
      <c r="O113" t="s">
        <v>67</v>
      </c>
      <c r="P113" t="s">
        <v>67</v>
      </c>
      <c r="Q113" t="str">
        <f t="shared" ref="Q113" si="56">_xlfn.CONCAT(O113,M113,P113)</f>
        <v>"Brasil"</v>
      </c>
      <c r="S113" t="s">
        <v>66</v>
      </c>
      <c r="T113" t="str">
        <f t="shared" si="55"/>
        <v>"Brasil"</v>
      </c>
    </row>
    <row r="114" spans="11:20" x14ac:dyDescent="0.25">
      <c r="K114" t="s">
        <v>68</v>
      </c>
      <c r="S114" t="s">
        <v>68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2020-04-15T21:59:59Z</dcterms:created>
  <dcterms:modified xsi:type="dcterms:W3CDTF">2020-04-15T23:44:25Z</dcterms:modified>
</cp:coreProperties>
</file>